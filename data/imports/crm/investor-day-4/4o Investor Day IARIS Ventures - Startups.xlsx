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-PitchDay" sheetId="1" r:id="rId5"/>
    <sheet state="visible" name="Startups" sheetId="2" r:id="rId6"/>
    <sheet state="visible" name="Framework IARIS — Avaliação Qua" sheetId="3" r:id="rId7"/>
    <sheet state="visible" name="Legenda - Avaliação" sheetId="4" r:id="rId8"/>
    <sheet state="hidden" name="Contato" sheetId="5" r:id="rId9"/>
    <sheet state="hidden" name="Agenda" sheetId="6" r:id="rId10"/>
    <sheet state="hidden" name="Tabela dinâmica" sheetId="7" r:id="rId11"/>
    <sheet state="hidden" name="Graficos" sheetId="8" r:id="rId12"/>
    <sheet state="hidden" name="Analise qualitativa" sheetId="9" r:id="rId13"/>
    <sheet state="hidden" name="Respostas ao formulário" sheetId="10" r:id="rId14"/>
    <sheet state="hidden" name="Base_Respostas" sheetId="11" r:id="rId15"/>
  </sheets>
  <definedNames>
    <definedName hidden="1" localSheetId="1" name="_xlnm._FilterDatabase">Startups!$A$1:$P$973</definedName>
    <definedName hidden="1" localSheetId="9" name="_xlnm._FilterDatabase">'Respostas ao formulário'!$A$1:$Y$67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<sst xmlns="http://schemas.openxmlformats.org/spreadsheetml/2006/main" count="2892" uniqueCount="465">
  <si>
    <t>Horário</t>
  </si>
  <si>
    <t>Tempo</t>
  </si>
  <si>
    <t>Tema</t>
  </si>
  <si>
    <t>Ação</t>
  </si>
  <si>
    <t>Pessoas envolvidas</t>
  </si>
  <si>
    <t>Primeira chamada</t>
  </si>
  <si>
    <t>Dar as boas-vindas e interagir</t>
  </si>
  <si>
    <t>Paulo</t>
  </si>
  <si>
    <t>Ínicio com Boas-vindas e leve apresentação</t>
  </si>
  <si>
    <t>Tirar Print e colocar a apresentação</t>
  </si>
  <si>
    <t>Paulo/Lee</t>
  </si>
  <si>
    <t>1o Pitch</t>
  </si>
  <si>
    <t>Chamar o ínicio e cronometrar o tempo</t>
  </si>
  <si>
    <t>Perguntas e respostas</t>
  </si>
  <si>
    <t>Mediar as perguntas</t>
  </si>
  <si>
    <t>Preechimento formulário</t>
  </si>
  <si>
    <t>Estimular o preenchimento e chamar a próxima startup</t>
  </si>
  <si>
    <t>Banca</t>
  </si>
  <si>
    <t>2o Pitch</t>
  </si>
  <si>
    <t>3o Pitch</t>
  </si>
  <si>
    <t>Intervalo</t>
  </si>
  <si>
    <t>Chamar o intervalo e colocar uma música</t>
  </si>
  <si>
    <t>4o Pitch</t>
  </si>
  <si>
    <t>5o Pitch</t>
  </si>
  <si>
    <t>6o Pitch</t>
  </si>
  <si>
    <t>Considerações finais e agradecimentos</t>
  </si>
  <si>
    <t>Startup</t>
  </si>
  <si>
    <t>Observação para lembrete</t>
  </si>
  <si>
    <t>Evolução</t>
  </si>
  <si>
    <t>Status</t>
  </si>
  <si>
    <t>Site</t>
  </si>
  <si>
    <t>Equity</t>
  </si>
  <si>
    <t>Vertical</t>
  </si>
  <si>
    <t>Fase</t>
  </si>
  <si>
    <t>Nota</t>
  </si>
  <si>
    <t>Captable</t>
  </si>
  <si>
    <t>MRR</t>
  </si>
  <si>
    <t>Clientes</t>
  </si>
  <si>
    <t>Time</t>
  </si>
  <si>
    <t>O que busca?</t>
  </si>
  <si>
    <t>Observação</t>
  </si>
  <si>
    <t>Apresentação</t>
  </si>
  <si>
    <t>Eu Disse Você Disse</t>
  </si>
  <si>
    <t>Conheci na Ab2lex, Cler a CEO, startup australiana e começando no Brasil (nenhum usuario)</t>
  </si>
  <si>
    <t>Paulo irá mandar email hoje (01/06). sem resposta, fazer FUP dia 04/06 por WhatsApp. Fizemos as alterações no contrato de acordo com documento enviado. Contrato está em validação com o jurídico e temos que aguardar a startup propor um plano para definir os marcos com a IARIS.</t>
  </si>
  <si>
    <t>Contrato</t>
  </si>
  <si>
    <t>https://eudissevocedisse.com/</t>
  </si>
  <si>
    <t>Jurídico</t>
  </si>
  <si>
    <t>Financia Saúde</t>
  </si>
  <si>
    <t>Médico amigo do Bruno</t>
  </si>
  <si>
    <t>Reunião realizada no dia 09/06. Enviamos o MoU e exemplos de Pitch (09/06) para análise deles. Combinamos de receber uma devolutiva até 19/06.</t>
  </si>
  <si>
    <t>https://www.instagram.com/financiasaude/</t>
  </si>
  <si>
    <t>Financeiro</t>
  </si>
  <si>
    <t>Tração</t>
  </si>
  <si>
    <t>Bidhero</t>
  </si>
  <si>
    <t>Indicação Visani - Empresa de Leilões</t>
  </si>
  <si>
    <t>2a reunião para tirar dúvidas do MoU e aguardando. Enviado 2º email aguardando retorno do MoU (02/06). Novo fup feito (09/06)</t>
  </si>
  <si>
    <t>https://www.bidhero.com.br/</t>
  </si>
  <si>
    <t>PayPass</t>
  </si>
  <si>
    <t>Jovem com poder aquisitivo e empreendendo</t>
  </si>
  <si>
    <t>Paulo fez um fup no Whatsapp (01/06). Enviei e-mail com o MOU dia 03/06. Fup feito (09/06)</t>
  </si>
  <si>
    <t>https://www.paypassbr.com/</t>
  </si>
  <si>
    <t>MVP</t>
  </si>
  <si>
    <t>EIGI</t>
  </si>
  <si>
    <t>Desenvolvedor que fez esse projeto para uma empresa e nao deu certo (nao esta full, mas quer)</t>
  </si>
  <si>
    <t>Responderam no sábado (30/05) enviando o Pitch. Avaliar e responder. Fup feito para agendamento de ruenião (08/06)</t>
  </si>
  <si>
    <t>https://eigi.com.br/apresentacao</t>
  </si>
  <si>
    <t>Tech</t>
  </si>
  <si>
    <t>https://eigi.com.br/auth
Usuário: e.junior@msn.com
Senha: 123123</t>
  </si>
  <si>
    <t>Vem ser Ágil</t>
  </si>
  <si>
    <t>Conheci na Ab2Lex, plataforma de divulgação do ecossistema juridico. Está no começo R$25KARR</t>
  </si>
  <si>
    <t>Fiz reunião e Lee está em cópia no e-mail. Enviado fup no dia
02/06 (3ª cobranca). Novo fup feito (09/06)</t>
  </si>
  <si>
    <t>https://vemseragil.com.br/</t>
  </si>
  <si>
    <t>Exordial.ai</t>
  </si>
  <si>
    <t>Tentamos no ultimo Investor mas muito crus, parecidos com Lawgie</t>
  </si>
  <si>
    <t>Lee está envolvida desde o começo.
Enviado fup no dia 02/06 (3ª cobranca). Novo fup feito (09/06)</t>
  </si>
  <si>
    <t>https://exordial.ai/</t>
  </si>
  <si>
    <t>BalcOn</t>
  </si>
  <si>
    <t>Conheci na Ab2Lex, já possui time (5 pessoas), começo de traçao com MRR de 30K</t>
  </si>
  <si>
    <t>Responderam no dia 29/05 que não conseguiram analisar os materiais enviados pelo Paulo. Irão discutir isso essa semana (1 a 05/06). Fup feito hoje (08/06).</t>
  </si>
  <si>
    <t>https://www.balcon.com.br/</t>
  </si>
  <si>
    <t>Catalyse</t>
  </si>
  <si>
    <t>Conhece a Ianna e estava na Ab2L, é uma consultoria que oferece serviços tecnologicos juridicos para escritorio (nao é tech ainda)</t>
  </si>
  <si>
    <t>Lee deixou com a gente a avaliação. Reunião agendada (10/06)</t>
  </si>
  <si>
    <t>https://catalyse.com.br/</t>
  </si>
  <si>
    <t>Orasis</t>
  </si>
  <si>
    <t>Indicação da Lucia focado na area de Varejo</t>
  </si>
  <si>
    <t>Reunião com a presença da Lee 28/05. Email enviado com MoU (28/05). Fiz um fup (02/06). Novo fup feito (09/06)</t>
  </si>
  <si>
    <t>-</t>
  </si>
  <si>
    <t>SoluSaaS</t>
  </si>
  <si>
    <t xml:space="preserve">Solução "parecida com a Intelus", falei com o Murillo e trocamos Whats </t>
  </si>
  <si>
    <t>Reunião que a Lee estava, MOU por e-mail e grupo Whats. Enviado fup no dia
02/06 (3ª cobranca). Fup feito no wpp (09/06)</t>
  </si>
  <si>
    <t>https://solusaas.com.br/</t>
  </si>
  <si>
    <t>REDELL</t>
  </si>
  <si>
    <t>Agencia que quer virar startup focado em creators jornalistas (indicação Lucia)</t>
  </si>
  <si>
    <t>Aguardando retorno do founders (Grupo Whats Lee está). Fup feito no grupo do Whats (02/06). Novo fup no wpp (09/06).</t>
  </si>
  <si>
    <t>2a Reunião</t>
  </si>
  <si>
    <t>https://www.redellcreators.com.br/</t>
  </si>
  <si>
    <t>Marketing</t>
  </si>
  <si>
    <t>Pagfinance</t>
  </si>
  <si>
    <t>Transfira via PIX e pague boletos com Cripto</t>
  </si>
  <si>
    <t>Aguardando retorno do founders (Grupo Whats Lee está). Fup feito no grupo do Whats (02/06). Novo fup feito no wpp (09/06).</t>
  </si>
  <si>
    <t>Startup avaliando</t>
  </si>
  <si>
    <t>https://pag.finance/</t>
  </si>
  <si>
    <t>SeuAtivo</t>
  </si>
  <si>
    <t>Abordar pois interagimos no ultimo Investor Day</t>
  </si>
  <si>
    <t>Paulo fará o fup (não respondeu)</t>
  </si>
  <si>
    <t>https://www.seuativo.com.br/</t>
  </si>
  <si>
    <r>
      <rPr>
        <rFont val="Arial"/>
        <b/>
        <color theme="1"/>
      </rPr>
      <t xml:space="preserve">AGUARDANDO PITCH ATUALIZADO
</t>
    </r>
    <r>
      <rPr>
        <rFont val="Arial"/>
        <color theme="1"/>
      </rPr>
      <t xml:space="preserve">15/10 call para catchup: founder com grande domínio do setor, tem runway, já opera bootstrapping, não tem cliente pagante. focaram os últimos 4 meses em refinar tese, ICP e amadurecer as integrações do produto e a parte burocrática/jurídica. Agora, querem correr em paralelo com captação de investimento e apoio de venture builder para reforçar a governança da empresa e operação. Pontos de atenção: ainda precisa validar mais pitch comercial, tese, mvp e ICP. </t>
    </r>
    <r>
      <rPr>
        <rFont val="Arial"/>
        <color rgb="FFFF0000"/>
      </rPr>
      <t>Agendando call com Marcos, Bruno e Wagner.</t>
    </r>
  </si>
  <si>
    <t>MaisLegal</t>
  </si>
  <si>
    <t>AB2Lex com WhatsApp - Rafael</t>
  </si>
  <si>
    <t>Paulo fará o fup (respondeu que estava corrido e me retornava na semana que vem)</t>
  </si>
  <si>
    <t>Avaliação</t>
  </si>
  <si>
    <t>Justino</t>
  </si>
  <si>
    <t>Pedro Gothardo</t>
  </si>
  <si>
    <t>Repescagem.</t>
  </si>
  <si>
    <t>AVA</t>
  </si>
  <si>
    <t>Muito maduros e sao um WhatsApp de CRM (bem legal)</t>
  </si>
  <si>
    <t>Não faz sentido no momento, mas vale fazer um Fup porque a Lee tentou contornar a objeção. Paulo fez um fup (01/06)</t>
  </si>
  <si>
    <t>Recusa</t>
  </si>
  <si>
    <t>https://www.agendor.com.br/solucoes/ava</t>
  </si>
  <si>
    <t>Emergency</t>
  </si>
  <si>
    <t>Conheci na Ab2Lex, já possui uma empresa de mais de 30 anos e agora está fazendo essa frente de inovação</t>
  </si>
  <si>
    <t>Mauricio retornou que não é o momento para seguir com VB</t>
  </si>
  <si>
    <t>https://emergency.com.br/</t>
  </si>
  <si>
    <t>SuperADV</t>
  </si>
  <si>
    <t>Jovem que tentei no ultimo Investor, com poder aquisitivo e empreendendo</t>
  </si>
  <si>
    <t>https://www.super.adv.br/</t>
  </si>
  <si>
    <t>Gughy</t>
  </si>
  <si>
    <t>Casal de Gravatai focado em moda</t>
  </si>
  <si>
    <t>POZZER</t>
  </si>
  <si>
    <t>Reunião feita com a Lee e fundador confuso</t>
  </si>
  <si>
    <t>Gennio</t>
  </si>
  <si>
    <t>Paulo fará o fup.</t>
  </si>
  <si>
    <t>https://gennio.io/pt-BR</t>
  </si>
  <si>
    <t>Whats enviado para Jessica o muito delay para retorno.</t>
  </si>
  <si>
    <t>Expedit</t>
  </si>
  <si>
    <t>https://www.expedit.com.br/</t>
  </si>
  <si>
    <t>E-mail enviado por Paulo</t>
  </si>
  <si>
    <t>Infity6</t>
  </si>
  <si>
    <t>https://www.infinity6.ai/</t>
  </si>
  <si>
    <t>Paulo já enviou por email o pitch</t>
  </si>
  <si>
    <t>Speach</t>
  </si>
  <si>
    <t>Startup do espirito santos
Licenciamento da voz: codigo especifico de audio, nao tem sso no Brasil, seguranca para saber e diagnosticar se esta tocando na radio
Quais dos produtos é o que vcs na validacao sentiram que converteu mais?: maker/saas, porem nao acho que é o game changer porque pode copiar fácil. carro chefe, deep tech, gestao de dados, exemplo tocou ou nao nas eleições: ele avisa e grava uma parte do audio (songmetrix) nao ser so para sons, mas sim medicao geral de ruido, exemplo.
poc da Petrobras: barulho do som dos equipamentos e o que pode gerar de consequência, fingerprint para cada som transformado em codigo.
Como os 2 concorrentes vendem pro mercado? eles focam no mesmo perfil de clientes que vocês?: elevenlabs (APIs) vendem a rodo
Validação do pricing: voice branding
Validação do ICP: ? Semi // so voice branding nao é automatico na venda pq precisa personalizar a voz
Comunicacao e outros setores
todos sao full dedicados
maiores desafios: pouca dedicacao para ajustes finos na voz,por exemplo, traducao, sotaque, para campanhas grandes.
pouca dedicacao: só o CEO
Faturamento 60k total + 30k de permuta (comercial é o CEO, Marcos)
tem 1 ano e 3 meses
Mentoria e Acesso pra contrato: expectativa
Está no processo da WOW
Globo espirito santo
Record espirito santo</t>
  </si>
  <si>
    <t>Não respondeu mais</t>
  </si>
  <si>
    <t>Startups</t>
  </si>
  <si>
    <t>1. Founder / Time 
(Founder consegue vender? Executa?)</t>
  </si>
  <si>
    <t>2. Clareza do problema
(Resolve dor urgente?)</t>
  </si>
  <si>
    <t>3. Produto
(Existe validação real?)</t>
  </si>
  <si>
    <t>4. Distribuição / GTM
(Existe forma previsível de crescer?)</t>
  </si>
  <si>
    <t>5. Tração 
(Existe evidência?)</t>
  </si>
  <si>
    <t>6. Mercado
(Mercado relevante?)</t>
  </si>
  <si>
    <t>7. Diferencial 
(Existe vantagem competitiva?)</t>
  </si>
  <si>
    <t>8. Modelo de negócio 
(Ganha dinheiro de forma plausível?)</t>
  </si>
  <si>
    <t>9. Investimento 
(Founder sabe quanto captar e por quê?)</t>
  </si>
  <si>
    <t>10. Governança / Organização 
(Métricas mínimas existem?)</t>
  </si>
  <si>
    <t>Resultado final</t>
  </si>
  <si>
    <t>🟢</t>
  </si>
  <si>
    <t>🟡</t>
  </si>
  <si>
    <t xml:space="preserve">🔴 </t>
  </si>
  <si>
    <t xml:space="preserve">🟡 </t>
  </si>
  <si>
    <t>BidHero</t>
  </si>
  <si>
    <t>BalncOn</t>
  </si>
  <si>
    <t>1. Founder / Time</t>
  </si>
  <si>
    <t>Founder consegue vender? Executa?</t>
  </si>
  <si>
    <t>🟢 Já vende clientes; conhece profundamente negócio; rápido para decidir; histórico relevante</t>
  </si>
  <si>
    <t>🟡 Conhece setor, mas depende muito de terceiros ou ainda está aprendendo vendas</t>
  </si>
  <si>
    <t>🔴 Founder técnico apenas; não vende; baixa clareza; postura passiva</t>
  </si>
  <si>
    <t>2. Clareza do problema</t>
  </si>
  <si>
    <t>Resolve dor urgente?</t>
  </si>
  <si>
    <t>🟢 Cliente paga hoje para resolver</t>
  </si>
  <si>
    <t>🟡 Problema existe, mas prioridade baixa</t>
  </si>
  <si>
    <t>🔴 Solução procurando problema</t>
  </si>
  <si>
    <t>3. Produto</t>
  </si>
  <si>
    <t>Existe validação real?</t>
  </si>
  <si>
    <t>🟢 Usuários/clientes ativos; feedbacks positivos</t>
  </si>
  <si>
    <t>🟡 MVP ou pilotos</t>
  </si>
  <si>
    <t>🔴 Ideia sem validação</t>
  </si>
  <si>
    <t>4. Distribuição / GTM</t>
  </si>
  <si>
    <t>Existe forma previsível de crescer?</t>
  </si>
  <si>
    <t>🟢 Canal identificado e funcionando</t>
  </si>
  <si>
    <t>🟡 Testando canais</t>
  </si>
  <si>
    <t>🔴 Crescimento baseado em esperança</t>
  </si>
  <si>
    <t>5. Tração</t>
  </si>
  <si>
    <t>Existe evidência?</t>
  </si>
  <si>
    <t>🟢 Receita crescente, usuários ou retenção</t>
  </si>
  <si>
    <t>🟡 Pequenos sinais</t>
  </si>
  <si>
    <t>🔴 Sem evidências</t>
  </si>
  <si>
    <t>6. Mercado</t>
  </si>
  <si>
    <t>Mercado relevante?</t>
  </si>
  <si>
    <t>🟢 Mercado crescente e grande</t>
  </si>
  <si>
    <t>🟡 Mercado nichado</t>
  </si>
  <si>
    <t>🔴 Mercado pequeno ou estagnado</t>
  </si>
  <si>
    <t>7. Diferencial</t>
  </si>
  <si>
    <t>Existe vantagem competitiva?</t>
  </si>
  <si>
    <t>🟢 Claro diferencial ou distribuição forte</t>
  </si>
  <si>
    <t>🟡 Melhorias incrementais</t>
  </si>
  <si>
    <t>🔴 Commodity total</t>
  </si>
  <si>
    <t>8. Modelo de negócio</t>
  </si>
  <si>
    <t>Ganha dinheiro de forma plausível?</t>
  </si>
  <si>
    <t>🟢 Receita clara</t>
  </si>
  <si>
    <t>🟡 Monetização em teste</t>
  </si>
  <si>
    <t>🔴 Monetização indefinida</t>
  </si>
  <si>
    <t>9. Investimento</t>
  </si>
  <si>
    <t>Founder sabe quanto captar e por quê?</t>
  </si>
  <si>
    <t>🟢 Valor + uso + retorno esperado</t>
  </si>
  <si>
    <t>🟡 Tem ideia geral</t>
  </si>
  <si>
    <t>🔴 Quer captar sem racional</t>
  </si>
  <si>
    <t>10. Governança / Organização</t>
  </si>
  <si>
    <t>Métricas mínimas existem?</t>
  </si>
  <si>
    <t>🟢 KPIs; financeiro; cap table</t>
  </si>
  <si>
    <t>🟡 Parcial</t>
  </si>
  <si>
    <t>🔴 Caótico</t>
  </si>
  <si>
    <t>Red flags eliminatórias (reprova independente do restante)</t>
  </si>
  <si>
    <t>Se SIM em qualquer um:</t>
  </si>
  <si>
    <t>□ Founder não vende nem aprende rápido</t>
  </si>
  <si>
    <t>□ Não existe validação mínima</t>
  </si>
  <si>
    <t>□ Captação sem racional</t>
  </si>
  <si>
    <t>□ Problema pouco relevante</t>
  </si>
  <si>
    <t>□ Conflito societário crítico</t>
  </si>
  <si>
    <t>□ Dependência extrema de cliente único</t>
  </si>
  <si>
    <t>□ Sem comprometimento do founder</t>
  </si>
  <si>
    <t>Resultado:</t>
  </si>
  <si>
    <t>🔴 Reprovar</t>
  </si>
  <si>
    <t>Resultado final (qualitativo)</t>
  </si>
  <si>
    <t>Depois da avaliação:</t>
  </si>
  <si>
    <t>Resultado</t>
  </si>
  <si>
    <t>Critério</t>
  </si>
  <si>
    <t>🟢 Investor Day</t>
  </si>
  <si>
    <t>maioria verde; até 1 vermelho</t>
  </si>
  <si>
    <t>Preparar investidor</t>
  </si>
  <si>
    <t>🟡 Potencial</t>
  </si>
  <si>
    <t>até 3 vermelhos</t>
  </si>
  <si>
    <t>Aceleração</t>
  </si>
  <si>
    <t>🔴 Não avançar</t>
  </si>
  <si>
    <t>≥4 vermelhos</t>
  </si>
  <si>
    <t>Reavaliar 90–180 dias</t>
  </si>
  <si>
    <t>Emails</t>
  </si>
  <si>
    <t>Touchworks</t>
  </si>
  <si>
    <t>fernando@touchworks.com.br, rafael@angular.eng.br, Wenendy Silva &lt;wenendy@touchworks.com.br&gt;</t>
  </si>
  <si>
    <t>Center Card</t>
  </si>
  <si>
    <t>comercial@centersys.com.br, contato@centersys.com.br</t>
  </si>
  <si>
    <t>Iris Visual Law</t>
  </si>
  <si>
    <t>fabio.paiva@irisvl.com, Ianna Menezes Cabanelas &lt;ianna.cabanelas@irisvl.com&gt;, iannamcabanelas.adv@gmail.com, vitor.brito@irisvl.com</t>
  </si>
  <si>
    <t>DATASIND</t>
  </si>
  <si>
    <t>rodrigo@tecnotins.com.br, tecnotins@gmail.com</t>
  </si>
  <si>
    <t>Aluris.io</t>
  </si>
  <si>
    <t>Jonatas Colleta &lt;jonatas@aluris.io&gt;, stefane@aluris.io</t>
  </si>
  <si>
    <t>Intelus</t>
  </si>
  <si>
    <t>xavier@intelus.com.br, xavier@sigaweb.com.br</t>
  </si>
  <si>
    <t>OK</t>
  </si>
  <si>
    <t>CenterCard</t>
  </si>
  <si>
    <t>Iris</t>
  </si>
  <si>
    <t>DataSIND</t>
  </si>
  <si>
    <t>De 0 a 10, qual a sua nota final para esta startup?</t>
  </si>
  <si>
    <t>Nome Startup / Equity</t>
  </si>
  <si>
    <t>AVERAGE de De 0 a 10, qual a sua nota final para esta startup?</t>
  </si>
  <si>
    <t>Bumy Social</t>
  </si>
  <si>
    <t>Ichello</t>
  </si>
  <si>
    <t>NoRed</t>
  </si>
  <si>
    <t>ROY</t>
  </si>
  <si>
    <t>SecBrain</t>
  </si>
  <si>
    <t>Sentinela Web3</t>
  </si>
  <si>
    <t>Total geral</t>
  </si>
  <si>
    <t>Você aprovaria essa startups em nosso Investor Day?</t>
  </si>
  <si>
    <t>COUNTA de Você aprovaria essa startups em nosso Investor Day?</t>
  </si>
  <si>
    <t>Não</t>
  </si>
  <si>
    <t>Sim</t>
  </si>
  <si>
    <t>Identificação da dor, problema e solução</t>
  </si>
  <si>
    <t>AVERAGE de Identificação da dor, problema e solução</t>
  </si>
  <si>
    <t>Modelo de Negócio é Escalável?</t>
  </si>
  <si>
    <t>AVERAGE de Modelo de Negócio é Escalável?</t>
  </si>
  <si>
    <t>Tamanho do Mercado é Atrativo?</t>
  </si>
  <si>
    <t>AVERAGE de Tamanho do Mercado é Atrativo?</t>
  </si>
  <si>
    <t xml:space="preserve"> Há evidências claras de demanda (early adopters, contratos, pré-vendas)?</t>
  </si>
  <si>
    <t>COUNTA de  Há evidências claras de demanda (early adopters, contratos, pré-vendas)?</t>
  </si>
  <si>
    <t>A solução do modelo de negócio apresentado é inovador?</t>
  </si>
  <si>
    <t>AVERAGE de A solução do modelo de negócio apresentado é inovador?</t>
  </si>
  <si>
    <t xml:space="preserve"> A tecnologia desenvolvida é proprietária (propriedade intectual)?</t>
  </si>
  <si>
    <t>COUNTA de  A tecnologia desenvolvida é proprietária (propriedade intectual)?</t>
  </si>
  <si>
    <t>Não ficou claro</t>
  </si>
  <si>
    <t>Desenvolvimento Tecnológico</t>
  </si>
  <si>
    <t>COUNTA de Desenvolvimento Tecnológico</t>
  </si>
  <si>
    <t>Desenvolvimento inicial</t>
  </si>
  <si>
    <t>Pré desenvolvimento (ideação)</t>
  </si>
  <si>
    <t>Produto final</t>
  </si>
  <si>
    <t>Prototipagem</t>
  </si>
  <si>
    <t>A tecnologia cumpre requisitos de segurança e regulamentação?</t>
  </si>
  <si>
    <t>COUNTA de A tecnologia cumpre requisitos de segurança e regulamentação?</t>
  </si>
  <si>
    <t>O modelo de negócios já foi testado no mercado e é financeiramente sustentável no longo prazo?</t>
  </si>
  <si>
    <t>AVERAGE de O modelo de negócios já foi testado no mercado e é financeiramente sustentável no longo prazo?</t>
  </si>
  <si>
    <t>A startup possui múltiplos fluxos de receita e canais de distribuição eficientes e escaláveis?</t>
  </si>
  <si>
    <t>AVERAGE de A startup possui múltiplos fluxos de receita e canais de distribuição eficientes e escaláveis?</t>
  </si>
  <si>
    <t xml:space="preserve"> Os fundadores têm experiência relevante no setor?</t>
  </si>
  <si>
    <t>AVERAGE de  Os fundadores têm experiência relevante no setor?</t>
  </si>
  <si>
    <t xml:space="preserve"> Os fundadores estão 100% dedicados à startup?  </t>
  </si>
  <si>
    <t xml:space="preserve">AVERAGE de  Os fundadores estão 100% dedicados à startup?  </t>
  </si>
  <si>
    <t xml:space="preserve"> A startup tem uma vantagem competitiva sustentável?</t>
  </si>
  <si>
    <t>AVERAGE de  A startup tem uma vantagem competitiva sustentável?</t>
  </si>
  <si>
    <t>Em comparação com o mercado, a solução apresentada se mostra em qual grau de atratividade na sua opinião?</t>
  </si>
  <si>
    <t>AVERAGE de Em comparação com o mercado, a solução apresentada se mostra em qual grau de atratividade na sua opinião?</t>
  </si>
  <si>
    <t>A startup está bem posicionada em relação aos concorrentes?</t>
  </si>
  <si>
    <t>COUNTA de  A startup está bem posicionada em relação aos concorrentes?</t>
  </si>
  <si>
    <t xml:space="preserve"> A startup está bem posicionada em relação aos concorrentes?</t>
  </si>
  <si>
    <t xml:space="preserve"> A startup possui caixa suficiente para atingir seus próximos marcos?</t>
  </si>
  <si>
    <t>AVERAGE de  A startup possui caixa suficiente para atingir seus próximos marcos?</t>
  </si>
  <si>
    <t xml:space="preserve">A diluição dos fundadores é razoável?  </t>
  </si>
  <si>
    <t xml:space="preserve">AVERAGE de A diluição dos fundadores é razoável?  </t>
  </si>
  <si>
    <t>A startup está alinhada com os princípios ESG (ambientais, sociais e de governança) e agrega valor intangível para a sociedade ou meio ambiente?</t>
  </si>
  <si>
    <t>AVERAGE de A startup está alinhada com os princípios ESG (ambientais, sociais e de governança) e agrega valor intangível para a sociedade ou meio ambiente?</t>
  </si>
  <si>
    <t>Nome Startup</t>
  </si>
  <si>
    <t>Média</t>
  </si>
  <si>
    <t xml:space="preserve">Ichello </t>
  </si>
  <si>
    <t xml:space="preserve">ROY </t>
  </si>
  <si>
    <t xml:space="preserve">NoRed </t>
  </si>
  <si>
    <t>MEDIA</t>
  </si>
  <si>
    <t>MÉDIA</t>
  </si>
  <si>
    <t>Comentários gerais</t>
  </si>
  <si>
    <t xml:space="preserve">Achei muito early stage e em desenvolvimento ainda ... </t>
  </si>
  <si>
    <t xml:space="preserve">Não vi grande diferencial competitivo. </t>
  </si>
  <si>
    <t xml:space="preserve">Há muito caminho para a ferramenta ficar completa, senti falta da demonstração de próximos passos. </t>
  </si>
  <si>
    <t>Entendendo que a base da startup está na metodologia criada pela Jessyca, ela precisará se posicionar como referência em seu segmento como os fundadores da Hubspot fizeram no passado e a RD Station fez no Brasil. Ela precisará deixar claro para o mercado que a ferramenta é apenas a produtização da sua metodologia e isso que é o grande diferencial.
Sobre a IA ao invés deles usarem o GPT padrão eles precisariam criar um LLM/RAG deles sendo especialista em marketing e tendo a metodologia dela na estrutura. Dessa forma conseguirão escalar melhor.</t>
  </si>
  <si>
    <t>Parabéns pela apresentação e pelo empreendimento. Fez sentido para mim e inclusive fiquei interessado para meu empreendimento.</t>
  </si>
  <si>
    <t>É um mercado regulado CVM com bons players, mas vale o investimento.</t>
  </si>
  <si>
    <t>Startup precisa entrar no portfolio da Iaris solução altamente lucrativa e escalável precisa somente ajusta com relação a regulamentação.</t>
  </si>
  <si>
    <t xml:space="preserve">Mercado de música é gigantesco, tem muito público apaixonado por artista, etc... isso acaba gerando um bom engajamento, imagino que possa ser uma boa solução. Minha dúvida é o modelo de negócio. Precisa avançar com a parte regulatória / crowdfunding. </t>
  </si>
  <si>
    <t>Grande potencial de mercado, apresenta MVP validado e ja fatura. O CEO está comprometido. Faz sentido ingressar na Iaris.</t>
  </si>
  <si>
    <t>Gerenciar melhor o tempo. Solidificar o business case,</t>
  </si>
  <si>
    <t>Modelo crowdfunding sempre interessante. Se engatar, a demanda dos artistas pode virar orgânica</t>
  </si>
  <si>
    <t xml:space="preserve">Mercado bastante competitivo e regulado na musica... </t>
  </si>
  <si>
    <t>Foi a que mais me chamou a atenção! Acho que vale a pena prosseguir com ela, mesmo tendo um equity menor.
Acho que o suporte a ele em termo de governança tem que ser imediato: 
1) Colocar ele dentro da legalidade ao estruturar a operação conforme regulamentações da CVM;
2) Trabalhar em um acordo de acionistas: sociedade com cônjuge eu enxergo como um fator de risco relevante.
Projeções financeiras irreais.
Obs.: Ele não faz somente crowdfundig de royalties musicais, mas também é um criador e gerenciador de comunidades para artistas.</t>
  </si>
  <si>
    <t xml:space="preserve">Ha que ter segurança quanto aos parceiros de tecnologia de Block Chain. Talvez juntar o pessoal do WEB 3 com eles... </t>
  </si>
  <si>
    <t>Ideia inusitada e com pouca visibilidade. Winner takes all?</t>
  </si>
  <si>
    <t>Mercado bem específico, a dor é apresentada como muita informalidade, não emissão de NFs, etc... Será que o sistema resolveria isso ou é uma característica desse mercado? Será necessário buscar sócios para apoiar a construção e evolução do produto. Talvez o CESAR via Venture Builder TECH poderia ajudá-lo.</t>
  </si>
  <si>
    <t>A Startup tem uma ideia muito interessante e um diferencial de mercado evidente. Mas acredito que a empresa ainda não está em uma fase adequada para entrar na Iaris. Acredito que evoluindo para um MVP e validando o modelo já seria um ótimo marco. Inclusive, como converter Early Adopters sair da informalidade se o próprio governo não tem exigido controle e fiscalização? (pelo menos foi o que eu entendi).</t>
  </si>
  <si>
    <t>A ideia é boa, mas ele precisa de execução.É um mercado regulado e ele não tem equipe. Coloca o desafio dele realizar o MVP, se ele realizar o MVP vale chamar para o portfólio, caso contrário não compensa.</t>
  </si>
  <si>
    <t>Precisa desenvolver mais o produto e validar a solução!</t>
  </si>
  <si>
    <t>Tem muito trabalho a ser feito para formar uma equipe. Não deixou claro qual como fará a verificação de dados, parte crucial para a formalização das atividades. No dimensionamento de mercado, tomou o mercado informal como um todo, não indicando se existe demanda efetiva por uma regularização.</t>
  </si>
  <si>
    <t>Eu achei muito incipiente ainda a ideia e não sei se vale a pena a relação entre esforço e resultado no desenvolvimento dessa startup.
O empreendedor ainda tem uma visão difusa sobre o assunto e pouco experiência na área.
Acho a ideia com potencial muito bom, inclusive estaria aberto a ouvir novamente no futuro (com mais robustez) ou outras no mesmo sentido.</t>
  </si>
  <si>
    <t>Coloquei "sim" na apresentação, mas depende. Teria que ter no mínimo 10% de participação por eles, algo na casa de 13% faria mais sentido. Estão bem embrionários, mas se trabalhar bem a estruturação, tecnologia para sustentar e bons contatos pode ser que de certo.</t>
  </si>
  <si>
    <t>Não demonstrou que o mercado alvo realmente compraria</t>
  </si>
  <si>
    <t>Não parece escalável, pois cada cliente exige algo customizado. Captação complicada</t>
  </si>
  <si>
    <t xml:space="preserve">Tenho minhas dúvidas do modelo de receita, principalmente por ser 100% variável, há uma caminhada grande ainda de validação e construção, mas é um mercado gigantesco e que está crescendo bastante... Aparentemente os sócios conhecem o mercado e possuem bons contatos para iniciar. Vale a aposta. </t>
  </si>
  <si>
    <t>Creio que o backgroud dos sócios é um diferencial da plataforma. Tem grandes Players no mercado, mas acredito que a Iaris possa contribuir com o crescimento da empresa.</t>
  </si>
  <si>
    <t>Apesar de não ter conseguido gerenciar bem o tempo de apresentação, entendi razoavelmente o modelo e é bem interessante. De fato, é inovador!
Só que ainda está bem incipiente e não está claro para mim (e talvez nem tanto para os idealizadores) como escalariam essa operação de forma exponencial.
Equipe é bem robusta, porém ainda não dedicada completamente. Precisam, talvez, de um aporte para esse primeiro momento. Foge um pouco à ideia de CVB.</t>
  </si>
  <si>
    <t xml:space="preserve">Falta sócio complementar, mas parece ser uma boa solução! Founder tech, aparentemente sabe bem o fluxo de construção, etc... </t>
  </si>
  <si>
    <t xml:space="preserve">Potencial interessante, boa usabilidade. Investível. </t>
  </si>
  <si>
    <t>Não testei a nova versão, mas o app faz sentido para mim. Inclusive uso o Pocket para reunir videos para ter ideias de criativos e, no caso do Pocket, não processa o conteúdo salvo. E salvar os videos nas plataformas sociais não é suficiente. Talvez precise investir em educação do cliente.</t>
  </si>
  <si>
    <t>Pitch muito bem estruturado. Modelo de receita a ser aprimorado.</t>
  </si>
  <si>
    <t>Até agora a melhor startup que se apresentou. Eles são um micro SaaS, mas é uma boa ter uma dessas no portfólio, seja para um early exit ou para um plano de dividendos.</t>
  </si>
  <si>
    <t xml:space="preserve">Empreendedor bem interessante, achei o melhor de toda a rodada.
Acho a solução interessante, porém dois pontos me deixam reticente:
1) Solução pouco aderente na nossa tese. Nada contra, a princípio, mas pensando que adiantamos essa primeira rodada pensando em tangibilizar nosso modelo para possíveis investidores, acho meio incoerente.
2) Com o movimento da Meta, Apple e grandes players tech de incorporar funcionalidades baseado em IA aos seus produtos e serviços, creio que essa solução corre grande risco de se tornar obsoleta logo! 
Mas, caso esse rapaz apareça com alguma outra ideia, estarei disposto a ouvir! Bom empreendedor! </t>
  </si>
  <si>
    <t xml:space="preserve">Pitch incompleto... creio vale ter mais detalhamento quanto a mercado potencial e difereciais . Nichado em Cripto, o que pode ser uma vantagem . </t>
  </si>
  <si>
    <t xml:space="preserve">Solução bem complexa em um mercado novo, time com certa deficiencia, perderam o CTO recentemente... Fica minha dúvida sobre a capacidade de execução do projeto. </t>
  </si>
  <si>
    <t>Alguns "Não" que dei foi devido a startup ser ainda uma ideia e sendo de base tecnológica não ter um CTO para desenvolve-lá. Eles precisam começar com algo para validar as hipoteses pelo menos.
Um outro ponto é que ela precisa nascer global, não tem como eles criarem um projeto de w3 em português. Tem que nascer numa pegada "Pipefy", global desde o dia 0.</t>
  </si>
  <si>
    <t>Sendo o foco em cripto, o público alvo já conhece suficiente para controlar sua wallet</t>
  </si>
  <si>
    <t>Equipe apresentada não tem backgorund requerido para o desenvolvimento da ideia. Considero um ponto extremamente crítico</t>
  </si>
  <si>
    <t>Precisa desenvolver um pouco para trazer para o portfolio, startup não possui produto no momento.</t>
  </si>
  <si>
    <t>Creio que ainda não é o momento para essa Startup. A Startup não identificou os concorrentes diretos/indiretos do mercado nacional e existem opções mais completas no mercado, inclusive nacionais.</t>
  </si>
  <si>
    <t>Carimbo de data/hora</t>
  </si>
  <si>
    <t>Nome do(a) Avaliador(a)</t>
  </si>
  <si>
    <t>O que a startup precisa que a IARIS pode oferecer a curto prazo?</t>
  </si>
  <si>
    <t>Bumy Social - 10%</t>
  </si>
  <si>
    <t>Luiz Loureiro</t>
  </si>
  <si>
    <t>3- A dor está clara mas a solução resolve parcialmente ela</t>
  </si>
  <si>
    <t>1 - Modelo é escalável, possui diferenciais competitivos, porém pode ser facilmente copiado</t>
  </si>
  <si>
    <t>3 - Mercado Médio R$100MM &gt;X&lt; R$1 Bi</t>
  </si>
  <si>
    <t>3 - Testado moderadamente e sustentabilidade incerta</t>
  </si>
  <si>
    <t>2 - Pouca diversificação e canais limitados</t>
  </si>
  <si>
    <t>3 - Experiência moderada</t>
  </si>
  <si>
    <t>4  - Bom comprometimento</t>
  </si>
  <si>
    <t>6 - Não foi apresentado</t>
  </si>
  <si>
    <t>Acesso ao capital, Mentoria, Contatos relevantes, Governança e Planejamento</t>
  </si>
  <si>
    <t>Marcio Lario</t>
  </si>
  <si>
    <t>1 - Não tem a informação</t>
  </si>
  <si>
    <t>3 - Moderada diversificação e canais funcionais</t>
  </si>
  <si>
    <t>4  -Boa experiência</t>
  </si>
  <si>
    <t>3 - Comprometimento moderado</t>
  </si>
  <si>
    <t>1 - Não há alinhamento nem valor intangível</t>
  </si>
  <si>
    <t>Mentoria, Governança e Planejamento, Acesso a programas (Sebrae, Finep, Embrapii, Seed, etc.)</t>
  </si>
  <si>
    <t>Paulo Buso</t>
  </si>
  <si>
    <t>4 - A dor está clara e está sendo resolvido através da solução apresentada</t>
  </si>
  <si>
    <t>4 - Bem testado e sustentável</t>
  </si>
  <si>
    <t>5 - Experiência relevante</t>
  </si>
  <si>
    <t>5 - Caixa bem gerido</t>
  </si>
  <si>
    <t>5 - Diluição ideal</t>
  </si>
  <si>
    <t>Acesso ao capital, Mentoria, Contatos relevantes, Clientes/Receita, Governança e Planejamento, Acesso a programas (Sebrae, Finep, Embrapii, Seed, etc.)</t>
  </si>
  <si>
    <t>Liliam Ferreira</t>
  </si>
  <si>
    <t>2 - Modelo é escalável, possui alguns diferenciais e ser copiado com alguma dificuldade</t>
  </si>
  <si>
    <t>2 - Testado parcialmente e pouco sustentável</t>
  </si>
  <si>
    <t>1 - Sem diversificação e canais ineficientes</t>
  </si>
  <si>
    <t>Mentoria, Governança e Planejamento</t>
  </si>
  <si>
    <t>Fábio Rodrigues da Silva</t>
  </si>
  <si>
    <t>2 - Mercado Pequeno &lt; R$100MM</t>
  </si>
  <si>
    <t>2 - Caixa insuficiente</t>
  </si>
  <si>
    <t>Acesso ao capital, Governança e Planejamento</t>
  </si>
  <si>
    <t>Giovanni Oliveira</t>
  </si>
  <si>
    <t>2 - Comprometimento inicial</t>
  </si>
  <si>
    <t>2 - Pouco alinhamento e valor intangível limitado</t>
  </si>
  <si>
    <t>Acesso ao capital, Mentoria, Contatos relevantes, Clientes/Receita, Governança e Planejamento, Serviços (Financeiro, MKT, Comercial, IA), Acesso a programas (Sebrae, Finep, Embrapii, Seed, etc.)</t>
  </si>
  <si>
    <t>Marcos Volpini</t>
  </si>
  <si>
    <t>5 - Altamente comprometidos</t>
  </si>
  <si>
    <t>4 - Suficiente</t>
  </si>
  <si>
    <t>3 - Moderado alinhamento e algum valor intangível</t>
  </si>
  <si>
    <t>Acesso ao capital, Mentoria</t>
  </si>
  <si>
    <t>Discutimos depois rsrs</t>
  </si>
  <si>
    <t>Daniel Marigliano</t>
  </si>
  <si>
    <t>1 - A dor não está clara ou não foi apresentada e a solução é irrelevante</t>
  </si>
  <si>
    <t>1 - Pouco comprometidos</t>
  </si>
  <si>
    <t>4 - Diluição razoável</t>
  </si>
  <si>
    <t>Acesso ao capital, Mentoria, Contatos relevantes, Clientes/Receita, Acesso a programas (Sebrae, Finep, Embrapii, Seed, etc.)</t>
  </si>
  <si>
    <t>Glauber Dias</t>
  </si>
  <si>
    <t>4 - Mercado Grande &gt; R$1Bi</t>
  </si>
  <si>
    <t>5 - Completamente validado e altamente sustentável</t>
  </si>
  <si>
    <t>5  - Altamente diversificada e canais escaláveis</t>
  </si>
  <si>
    <t>4 - Bom alinhamento e valor intangível relevante</t>
  </si>
  <si>
    <t>Acesso ao capital, Mentoria, Clientes/Receita, Governança e Planejamento, Serviços (Financeiro, MKT, Comercial, IA)</t>
  </si>
  <si>
    <t>Bruno</t>
  </si>
  <si>
    <t>Acesso ao capital, Clientes/Receita</t>
  </si>
  <si>
    <t>Josemir Moura Maia</t>
  </si>
  <si>
    <t>3 - Modelo é escalável, com muitos diferencias e é muito difícil de ser copiado</t>
  </si>
  <si>
    <t>4 - Boa diversificação e canais eficientes</t>
  </si>
  <si>
    <t>5 - Alinhamento forte e impacto social/ambiental significativo</t>
  </si>
  <si>
    <t>Acesso ao capital, Mentoria, Contatos relevantes, Governança e Planejamento, Acesso a programas (Sebrae, Finep, Embrapii, Seed, etc.)</t>
  </si>
  <si>
    <t>Sentinela Web3 - 10%</t>
  </si>
  <si>
    <t xml:space="preserve">MArcio LArio </t>
  </si>
  <si>
    <t>1 - Sem caixa suficiente</t>
  </si>
  <si>
    <t>Acesso ao capital, Mentoria, Governança e Planejamento, Acesso a programas (Sebrae, Finep, Embrapii, Seed, etc.)</t>
  </si>
  <si>
    <t>1 - Não testado e insustentável</t>
  </si>
  <si>
    <t>2 - Pouca experiência</t>
  </si>
  <si>
    <t>2 - A dor está clara mas a solução apresentada não resolve ela</t>
  </si>
  <si>
    <t>3 - Moderadamente suficiente</t>
  </si>
  <si>
    <t>3 - Diluição moderada</t>
  </si>
  <si>
    <t>Acesso ao capital, Mentoria, Governança e Planejamento, Serviços (Financeiro, MKT, Comercial, IA), Acesso a programas (Sebrae, Finep, Embrapii, Seed, etc.)</t>
  </si>
  <si>
    <t>Acesso ao capital</t>
  </si>
  <si>
    <t>Contatos relevantes, Clientes/Receita, Governança e Planejamento</t>
  </si>
  <si>
    <t>Mentoria, Contatos relevantes, Serviços (Financeiro, MKT, Comercial, IA), Acesso a programas (Sebrae, Finep, Embrapii, Seed, etc.)</t>
  </si>
  <si>
    <t>Serviços (Financeiro, MKT, Comercial, IA)</t>
  </si>
  <si>
    <t>Acesso ao capital, Serviços (Financeiro, MKT, Comercial, IA)</t>
  </si>
  <si>
    <t>Mentoria, Serviços (Financeiro, MKT, Comercial, IA), Acesso a programas (Sebrae, Finep, Embrapii, Seed, etc.)</t>
  </si>
  <si>
    <t>Acesso ao capital, Clientes/Receita, Serviços (Financeiro, MKT, Comercial, IA)</t>
  </si>
  <si>
    <t>André Rodrigues da Silva</t>
  </si>
  <si>
    <t>Acesso ao capital, Mentoria, Contatos relevantes, Clientes/Receita, Governança e Planejamento, Serviços (Financeiro, MKT, Comercial, IA)</t>
  </si>
  <si>
    <t>NoRed - 10%</t>
  </si>
  <si>
    <t xml:space="preserve">Ha que ter segurança quanto aos parceiros de tecnologia de Block Chain. Talvez juntar o pessoal do WEB 3 com eles... 
</t>
  </si>
  <si>
    <t>Mentoria, Clientes/Receita, Serviços (Financeiro, MKT, Comercial, IA), Acesso a programas (Sebrae, Finep, Embrapii, Seed, etc.)</t>
  </si>
  <si>
    <t>1 - Sem experiência</t>
  </si>
  <si>
    <t>SecBrain- 10%</t>
  </si>
  <si>
    <t>Mentoria, Contatos relevantes, Clientes/Receita, Governança e Planejamento, Acesso a programas (Sebrae, Finep, Embrapii, Seed, etc.)</t>
  </si>
  <si>
    <t>Acesso ao capital, Mentoria, Clientes/Receita, Governança e Planejamento</t>
  </si>
  <si>
    <t>Acesso ao capital, Mentoria, Governança e Planejamento</t>
  </si>
  <si>
    <t>Acesso ao capital, Mentoria, Serviços (Financeiro, MKT, Comercial, IA)</t>
  </si>
  <si>
    <t>Andre Rodrigues da Silva</t>
  </si>
  <si>
    <t>Ichello - 5%</t>
  </si>
  <si>
    <t>Mentoria, Contatos relevantes, Governança e Planejamento, Serviços (Financeiro, MKT, Comercial, IA), Acesso a programas (Sebrae, Finep, Embrapii, Seed, etc.)</t>
  </si>
  <si>
    <t>Mentoria, Clientes/Receita, Governança e Planejamento, Serviços (Financeiro, MKT, Comercial, IA)</t>
  </si>
  <si>
    <t>Acesso ao capital, Mentoria, Contatos relevantes, Governança e Planejamento, Serviços (Financeiro, MKT, Comercial, IA), Acesso a programas (Sebrae, Finep, Embrapii, Seed, etc.)</t>
  </si>
  <si>
    <t>Acesso ao capital, Contatos relevantes, Governança e Planejamento, Serviços (Financeiro, MKT, Comercial, IA), Acesso a programas (Sebrae, Finep, Embrapii, Seed, etc.)</t>
  </si>
  <si>
    <t>Governança e Planejamento, Serviços (Financeiro, MKT, Comercial, IA)</t>
  </si>
  <si>
    <t>Mentoria, Governança e Planejamento, Serviços (Financeiro, MKT, Comercial, IA)</t>
  </si>
  <si>
    <t>ROY - 6%</t>
  </si>
  <si>
    <t>Mentoria, Contatos relevantes, Clientes/Receita, Governança e Planejamento</t>
  </si>
  <si>
    <t>Mentoria, Serviços (Financeiro, MKT, Comercial, IA)</t>
  </si>
  <si>
    <t xml:space="preserve">Marcio LArio </t>
  </si>
  <si>
    <t>Mentoria, Governança e Planejamento, Serviços (Financeiro, MKT, Comercial, IA), Acesso a programas (Sebrae, Finep, Embrapii, Seed, etc.)</t>
  </si>
  <si>
    <t>Acesso ao capital, Contatos relevantes, Clientes/Receita, Governança e Planejamento, Serviços (Financeiro, MKT, Comercial, IA), Acesso a programas (Sebrae, Finep, Embrapii, Seed,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</si>
</sst>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"/>
    <numFmt numFmtId="165" formatCode="0.0%"/>
    <numFmt numFmtId="166" formatCode="[$R$ -416]#,##0.00"/>
    <numFmt numFmtId="167" formatCode="0.0"/>
    <numFmt numFmtId="168" formatCode="m/d/yyyy h:mm:ss"/>
  </numFmts>
  <fonts count="2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color rgb="FF000000"/>
      <name val="Arial"/>
      <scheme val="minor"/>
    </font>
    <font>
      <b/>
      <sz val="8.0"/>
      <color rgb="FFFFFFFF"/>
      <name val="Sora"/>
    </font>
    <font>
      <sz val="8.0"/>
      <color theme="1"/>
      <name val="Sora"/>
    </font>
    <font>
      <b/>
      <sz val="8.0"/>
      <color theme="1"/>
      <name val="Sora"/>
    </font>
    <font>
      <b/>
      <u/>
      <sz val="8.0"/>
      <color rgb="FF0000FF"/>
      <name val="Sora"/>
    </font>
    <font>
      <b/>
      <sz val="8.0"/>
      <color rgb="FF000000"/>
      <name val="Sora"/>
    </font>
    <font>
      <b/>
      <color rgb="FFFFFFFF"/>
      <name val="Arial"/>
      <scheme val="minor"/>
    </font>
    <font>
      <u/>
      <color rgb="FF0000FF"/>
    </font>
    <font>
      <color rgb="FFFFFFFF"/>
      <name val="Arial"/>
      <scheme val="minor"/>
    </font>
    <font>
      <u/>
      <color rgb="FF0000FF"/>
    </font>
    <font>
      <b/>
      <color theme="1"/>
      <name val="Montserrat"/>
    </font>
    <font>
      <color theme="1"/>
      <name val="Montserrat"/>
    </font>
    <font>
      <b/>
      <sz val="15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674EA7"/>
        <bgColor rgb="FF674EA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3" fontId="2" numFmtId="164" xfId="0" applyAlignment="1" applyFill="1" applyFont="1" applyNumberForma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4" fontId="2" numFmtId="164" xfId="0" applyAlignment="1" applyFill="1" applyFont="1" applyNumberForma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5" fontId="2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ont="1">
      <alignment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6" fontId="2" numFmtId="164" xfId="0" applyAlignment="1" applyFill="1" applyFont="1" applyNumberFormat="1">
      <alignment horizontal="center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7" fontId="2" numFmtId="164" xfId="0" applyAlignment="1" applyFill="1" applyFont="1" applyNumberFormat="1">
      <alignment horizontal="center" shrinkToFit="0" vertical="center" wrapText="1"/>
    </xf>
    <xf borderId="0" fillId="7" fontId="2" numFmtId="0" xfId="0" applyAlignment="1" applyFont="1">
      <alignment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8" fontId="2" numFmtId="164" xfId="0" applyAlignment="1" applyFill="1" applyFont="1" applyNumberFormat="1">
      <alignment horizontal="center" shrinkToFit="0" vertical="center" wrapText="1"/>
    </xf>
    <xf borderId="0" fillId="8" fontId="2" numFmtId="0" xfId="0" applyAlignment="1" applyFont="1">
      <alignment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2" numFmtId="0" xfId="0" applyAlignment="1" applyFont="1">
      <alignment readingOrder="0" shrinkToFit="0" vertical="center" wrapText="1"/>
    </xf>
    <xf borderId="0" fillId="9" fontId="2" numFmtId="164" xfId="0" applyAlignment="1" applyFill="1" applyFont="1" applyNumberFormat="1">
      <alignment horizontal="center" shrinkToFit="0" vertical="center" wrapText="1"/>
    </xf>
    <xf borderId="0" fillId="9" fontId="2" numFmtId="0" xfId="0" applyAlignment="1" applyFont="1">
      <alignment shrinkToFit="0" vertical="center" wrapText="1"/>
    </xf>
    <xf borderId="0" fillId="9" fontId="2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12" fontId="13" numFmtId="0" xfId="0" applyAlignment="1" applyBorder="1" applyFill="1" applyFont="1">
      <alignment horizontal="center" readingOrder="0" shrinkToFit="0" vertical="center" wrapText="1"/>
    </xf>
    <xf borderId="1" fillId="13" fontId="13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14" fontId="15" numFmtId="0" xfId="0" applyAlignment="1" applyBorder="1" applyFill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readingOrder="0" shrinkToFit="0" wrapText="1"/>
    </xf>
    <xf borderId="0" fillId="15" fontId="18" numFmtId="0" xfId="0" applyAlignment="1" applyFill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2" fontId="20" numFmtId="0" xfId="0" applyAlignment="1" applyFont="1">
      <alignment horizontal="center" readingOrder="0"/>
    </xf>
    <xf borderId="0" fillId="2" fontId="20" numFmtId="0" xfId="0" applyAlignment="1" applyFont="1">
      <alignment readingOrder="0"/>
    </xf>
    <xf borderId="0" fillId="3" fontId="6" numFmtId="164" xfId="0" applyAlignment="1" applyFont="1" applyNumberFormat="1">
      <alignment horizontal="center" readingOrder="0"/>
    </xf>
    <xf borderId="0" fillId="3" fontId="6" numFmtId="0" xfId="0" applyAlignment="1" applyFont="1">
      <alignment readingOrder="0"/>
    </xf>
    <xf borderId="0" fillId="4" fontId="6" numFmtId="164" xfId="0" applyAlignment="1" applyFont="1" applyNumberFormat="1">
      <alignment horizontal="center" readingOrder="0"/>
    </xf>
    <xf borderId="0" fillId="4" fontId="6" numFmtId="0" xfId="0" applyAlignment="1" applyFont="1">
      <alignment readingOrder="0"/>
    </xf>
    <xf borderId="0" fillId="5" fontId="6" numFmtId="164" xfId="0" applyAlignment="1" applyFont="1" applyNumberFormat="1">
      <alignment horizontal="center" readingOrder="0"/>
    </xf>
    <xf borderId="0" fillId="5" fontId="6" numFmtId="0" xfId="0" applyAlignment="1" applyFont="1">
      <alignment readingOrder="0"/>
    </xf>
    <xf borderId="0" fillId="6" fontId="6" numFmtId="164" xfId="0" applyAlignment="1" applyFont="1" applyNumberFormat="1">
      <alignment horizontal="center" readingOrder="0"/>
    </xf>
    <xf borderId="0" fillId="6" fontId="6" numFmtId="0" xfId="0" applyAlignment="1" applyFont="1">
      <alignment readingOrder="0"/>
    </xf>
    <xf borderId="0" fillId="7" fontId="6" numFmtId="164" xfId="0" applyAlignment="1" applyFont="1" applyNumberFormat="1">
      <alignment horizontal="center" readingOrder="0"/>
    </xf>
    <xf borderId="0" fillId="7" fontId="6" numFmtId="0" xfId="0" applyAlignment="1" applyFont="1">
      <alignment readingOrder="0"/>
    </xf>
    <xf borderId="0" fillId="8" fontId="6" numFmtId="164" xfId="0" applyAlignment="1" applyFont="1" applyNumberFormat="1">
      <alignment horizontal="center" readingOrder="0"/>
    </xf>
    <xf borderId="0" fillId="8" fontId="6" numFmtId="0" xfId="0" applyAlignment="1" applyFont="1">
      <alignment readingOrder="0"/>
    </xf>
    <xf borderId="0" fillId="8" fontId="21" numFmtId="0" xfId="0" applyAlignment="1" applyFont="1">
      <alignment readingOrder="0"/>
    </xf>
    <xf borderId="0" fillId="9" fontId="6" numFmtId="164" xfId="0" applyAlignment="1" applyFont="1" applyNumberFormat="1">
      <alignment horizontal="center" readingOrder="0"/>
    </xf>
    <xf borderId="0" fillId="9" fontId="6" numFmtId="0" xfId="0" applyAlignment="1" applyFont="1">
      <alignment readingOrder="0"/>
    </xf>
    <xf borderId="0" fillId="3" fontId="6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6" numFmtId="167" xfId="0" applyFont="1" applyNumberFormat="1"/>
    <xf borderId="0" fillId="0" fontId="6" numFmtId="10" xfId="0" applyFont="1" applyNumberFormat="1"/>
    <xf borderId="0" fillId="14" fontId="6" numFmtId="0" xfId="0" applyFont="1"/>
    <xf borderId="0" fillId="0" fontId="5" numFmtId="0" xfId="0" applyAlignment="1" applyFont="1">
      <alignment readingOrder="0"/>
    </xf>
    <xf borderId="0" fillId="16" fontId="6" numFmtId="0" xfId="0" applyAlignment="1" applyFill="1" applyFont="1">
      <alignment readingOrder="0"/>
    </xf>
    <xf borderId="0" fillId="17" fontId="6" numFmtId="0" xfId="0" applyAlignment="1" applyFill="1" applyFont="1">
      <alignment readingOrder="0"/>
    </xf>
    <xf borderId="0" fillId="18" fontId="6" numFmtId="0" xfId="0" applyAlignment="1" applyFill="1" applyFont="1">
      <alignment readingOrder="0"/>
    </xf>
    <xf borderId="0" fillId="0" fontId="6" numFmtId="2" xfId="0" applyFont="1" applyNumberFormat="1"/>
    <xf borderId="0" fillId="0" fontId="22" numFmtId="0" xfId="0" applyAlignment="1" applyFont="1">
      <alignment readingOrder="0"/>
    </xf>
    <xf borderId="0" fillId="0" fontId="4" numFmtId="0" xfId="0" applyFont="1"/>
    <xf borderId="0" fillId="0" fontId="23" numFmtId="0" xfId="0" applyFont="1"/>
    <xf borderId="0" fillId="10" fontId="8" numFmtId="0" xfId="0" applyAlignment="1" applyFont="1">
      <alignment readingOrder="0"/>
    </xf>
    <xf borderId="0" fillId="1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10" fontId="6" numFmtId="0" xfId="0" applyFont="1"/>
    <xf borderId="0" fillId="1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19" fontId="18" numFmtId="0" xfId="0" applyAlignment="1" applyFill="1" applyFont="1">
      <alignment readingOrder="0"/>
    </xf>
    <xf borderId="0" fillId="20" fontId="18" numFmtId="0" xfId="0" applyAlignment="1" applyFill="1" applyFont="1">
      <alignment readingOrder="0"/>
    </xf>
    <xf borderId="0" fillId="21" fontId="18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2" pivot="0" name="Analise qualitativa-style">
      <tableStyleElement dxfId="1" type="firstRowStripe"/>
      <tableStyleElement dxfId="2" type="secondRowStripe"/>
    </tableStyle>
    <tableStyle count="2" pivot="0" name="Analise qualitativa-style 2">
      <tableStyleElement dxfId="1" type="firstRowStripe"/>
      <tableStyleElement dxfId="2" type="secondRowStripe"/>
    </tableStyle>
    <tableStyle count="2" pivot="0" name="Analise qualitativa-style 3">
      <tableStyleElement dxfId="1" type="firstRowStripe"/>
      <tableStyleElement dxfId="2" type="secondRowStripe"/>
    </tableStyle>
    <tableStyle count="2" pivot="0" name="Analise qualitativa-style 4">
      <tableStyleElement dxfId="1" type="firstRowStripe"/>
      <tableStyleElement dxfId="2" type="secondRowStripe"/>
    </tableStyle>
    <tableStyle count="2" pivot="0" name="Analise qualitativa-style 5">
      <tableStyleElement dxfId="1" type="firstRowStripe"/>
      <tableStyleElement dxfId="2" type="secondRowStripe"/>
    </tableStyle>
    <tableStyle count="2" pivot="0" name="Analise qualitativa-style 6">
      <tableStyleElement dxfId="1" type="firstRowStripe"/>
      <tableStyleElement dxfId="2" type="secondRowStripe"/>
    </tableStyle>
    <tableStyle count="4" pivot="0" name="Respostas ao formulário-style">
      <tableStyleElement dxfId="3" type="headerRow"/>
      <tableStyleElement dxfId="2" type="firstRowStripe"/>
      <tableStyleElement dxfId="1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78125"/>
          <c:y val="0.07256250000000002"/>
          <c:w val="0.9837479440789475"/>
          <c:h val="0.8111250000000001"/>
        </c:manualLayout>
      </c:layout>
      <c:barChart>
        <c:barDir val="col"/>
        <c:ser>
          <c:idx val="0"/>
          <c:order val="0"/>
          <c:tx>
            <c:strRef>
              <c:f>Graficos!$B$1:$B$2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Graficos!$A$3:$A$8</c:f>
            </c:strRef>
          </c:cat>
          <c:val>
            <c:numRef>
              <c:f>Graficos!$B$3:$B$8</c:f>
              <c:numCache/>
            </c:numRef>
          </c:val>
        </c:ser>
        <c:axId val="1138453576"/>
        <c:axId val="474200346"/>
      </c:barChart>
      <c:catAx>
        <c:axId val="1138453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474200346"/>
      </c:catAx>
      <c:valAx>
        <c:axId val="4742003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Arial black"/>
                  </a:defRPr>
                </a:pPr>
                <a:r>
                  <a:rPr b="0">
                    <a:solidFill>
                      <a:schemeClr val="lt1"/>
                    </a:solidFill>
                    <a:latin typeface="Arial black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Tahoma"/>
              </a:defRPr>
            </a:pPr>
          </a:p>
        </c:txPr>
        <c:crossAx val="1138453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8634868421052632"/>
          <c:y val="0.0697136563876652"/>
          <c:w val="0.9818462171052633"/>
          <c:h val="0.7458149779735683"/>
        </c:manualLayout>
      </c:layout>
      <c:barChart>
        <c:barDir val="col"/>
        <c:grouping val="percentStacked"/>
        <c:ser>
          <c:idx val="0"/>
          <c:order val="0"/>
          <c:tx>
            <c:strRef>
              <c:f>Graficos!$B$19:$B$20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Graficos!$A$21:$A$26</c:f>
            </c:strRef>
          </c:cat>
          <c:val>
            <c:numRef>
              <c:f>Graficos!$B$21:$B$26</c:f>
              <c:numCache/>
            </c:numRef>
          </c:val>
        </c:ser>
        <c:ser>
          <c:idx val="1"/>
          <c:order val="1"/>
          <c:tx>
            <c:strRef>
              <c:f>Graficos!$C$19:$C$20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Graficos!$A$21:$A$26</c:f>
            </c:strRef>
          </c:cat>
          <c:val>
            <c:numRef>
              <c:f>Graficos!$C$21:$C$26</c:f>
              <c:numCache/>
            </c:numRef>
          </c:val>
        </c:ser>
        <c:overlap val="100"/>
        <c:axId val="64358631"/>
        <c:axId val="1791959020"/>
      </c:barChart>
      <c:catAx>
        <c:axId val="64358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91959020"/>
      </c:catAx>
      <c:valAx>
        <c:axId val="17919590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4358631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6829268292682926"/>
          <c:w val="0.9975165562913907"/>
          <c:h val="0.8268292682926831"/>
        </c:manualLayout>
      </c:layout>
      <c:barChart>
        <c:barDir val="col"/>
        <c:ser>
          <c:idx val="0"/>
          <c:order val="0"/>
          <c:tx>
            <c:strRef>
              <c:f>Graficos!$B$38:$B$39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Graficos!$A$40:$A$45</c:f>
            </c:strRef>
          </c:cat>
          <c:val>
            <c:numRef>
              <c:f>Graficos!$B$40:$B$45</c:f>
              <c:numCache/>
            </c:numRef>
          </c:val>
        </c:ser>
        <c:axId val="82653793"/>
        <c:axId val="1459906272"/>
      </c:barChart>
      <c:catAx>
        <c:axId val="82653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59906272"/>
      </c:catAx>
      <c:valAx>
        <c:axId val="145990627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+mn-lt"/>
                  </a:defRPr>
                </a:pPr>
                <a:r>
                  <a:rPr b="0">
                    <a:solidFill>
                      <a:schemeClr val="lt1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2653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9105960264900662"/>
          <c:y val="0.06985619469026552"/>
          <c:w val="0.9717922185430465"/>
          <c:h val="0.8193584070796458"/>
        </c:manualLayout>
      </c:layout>
      <c:barChart>
        <c:barDir val="col"/>
        <c:ser>
          <c:idx val="0"/>
          <c:order val="0"/>
          <c:tx>
            <c:strRef>
              <c:f>Graficos!$B$54:$B$55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45818E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Graficos!$A$56:$A$61</c:f>
            </c:strRef>
          </c:cat>
          <c:val>
            <c:numRef>
              <c:f>Graficos!$B$56:$B$61</c:f>
              <c:numCache/>
            </c:numRef>
          </c:val>
        </c:ser>
        <c:axId val="549428604"/>
        <c:axId val="1960285759"/>
      </c:barChart>
      <c:catAx>
        <c:axId val="549428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60285759"/>
      </c:catAx>
      <c:valAx>
        <c:axId val="196028575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49428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9031854414280073"/>
          <c:y val="0.09"/>
          <c:w val="0.959474390857309"/>
          <c:h val="0.8041549500000004"/>
        </c:manualLayout>
      </c:layout>
      <c:barChart>
        <c:barDir val="col"/>
        <c:ser>
          <c:idx val="0"/>
          <c:order val="0"/>
          <c:tx>
            <c:strRef>
              <c:f>Graficos!$B$69:$B$70</c:f>
            </c:strRef>
          </c:tx>
          <c:spPr>
            <a:solidFill>
              <a:srgbClr val="134F5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Graficos!$A$71:$A$76</c:f>
            </c:strRef>
          </c:cat>
          <c:val>
            <c:numRef>
              <c:f>Graficos!$B$71:$B$76</c:f>
              <c:numCache/>
            </c:numRef>
          </c:val>
        </c:ser>
        <c:axId val="352657926"/>
        <c:axId val="13571929"/>
      </c:barChart>
      <c:catAx>
        <c:axId val="352657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571929"/>
      </c:catAx>
      <c:valAx>
        <c:axId val="1357192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5265792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5081206496519721"/>
          <c:y val="0.13996848739495799"/>
          <c:w val="0.9561774941995359"/>
          <c:h val="0.7523109243697477"/>
        </c:manualLayout>
      </c:layout>
      <c:barChart>
        <c:barDir val="col"/>
        <c:grouping val="stacked"/>
        <c:ser>
          <c:idx val="0"/>
          <c:order val="0"/>
          <c:tx>
            <c:strRef>
              <c:f>Graficos!$B$85:$B$86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Graficos!$A$87:$A$92</c:f>
            </c:strRef>
          </c:cat>
          <c:val>
            <c:numRef>
              <c:f>Graficos!$B$87:$B$92</c:f>
              <c:numCache/>
            </c:numRef>
          </c:val>
        </c:ser>
        <c:ser>
          <c:idx val="1"/>
          <c:order val="1"/>
          <c:tx>
            <c:strRef>
              <c:f>Graficos!$C$85:$C$86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Graficos!$A$87:$A$92</c:f>
            </c:strRef>
          </c:cat>
          <c:val>
            <c:numRef>
              <c:f>Graficos!$C$87:$C$92</c:f>
              <c:numCache/>
            </c:numRef>
          </c:val>
        </c:ser>
        <c:overlap val="100"/>
        <c:axId val="793531521"/>
        <c:axId val="375828629"/>
      </c:barChart>
      <c:catAx>
        <c:axId val="793531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75828629"/>
      </c:catAx>
      <c:valAx>
        <c:axId val="37582862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9353152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6890930578021592"/>
          <c:w val="0.9795280326828122"/>
          <c:h val="0.8172964173932594"/>
        </c:manualLayout>
      </c:layout>
      <c:barChart>
        <c:barDir val="col"/>
        <c:ser>
          <c:idx val="0"/>
          <c:order val="0"/>
          <c:tx>
            <c:strRef>
              <c:f>Graficos!$B$101:$B$102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Graficos!$A$103:$A$108</c:f>
            </c:strRef>
          </c:cat>
          <c:val>
            <c:numRef>
              <c:f>Graficos!$B$103:$B$108</c:f>
              <c:numCache/>
            </c:numRef>
          </c:val>
        </c:ser>
        <c:axId val="1506790997"/>
        <c:axId val="1818170857"/>
      </c:barChart>
      <c:catAx>
        <c:axId val="1506790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18170857"/>
      </c:catAx>
      <c:valAx>
        <c:axId val="181817085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06790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274"/>
          <c:w val="0.9950367095777267"/>
          <c:h val="0.6183675342549502"/>
        </c:manualLayout>
      </c:layout>
      <c:barChart>
        <c:barDir val="col"/>
        <c:grouping val="percentStacked"/>
        <c:ser>
          <c:idx val="0"/>
          <c:order val="0"/>
          <c:tx>
            <c:strRef>
              <c:f>Graficos!$B$116:$B$117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Graficos!$A$118:$A$123</c:f>
            </c:strRef>
          </c:cat>
          <c:val>
            <c:numRef>
              <c:f>Graficos!$B$118:$B$123</c:f>
              <c:numCache/>
            </c:numRef>
          </c:val>
        </c:ser>
        <c:ser>
          <c:idx val="1"/>
          <c:order val="1"/>
          <c:tx>
            <c:strRef>
              <c:f>Graficos!$C$116:$C$117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Graficos!$A$118:$A$123</c:f>
            </c:strRef>
          </c:cat>
          <c:val>
            <c:numRef>
              <c:f>Graficos!$C$118:$C$123</c:f>
              <c:numCache/>
            </c:numRef>
          </c:val>
        </c:ser>
        <c:ser>
          <c:idx val="2"/>
          <c:order val="2"/>
          <c:tx>
            <c:strRef>
              <c:f>Graficos!$D$116:$D$117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Graficos!$A$118:$A$123</c:f>
            </c:strRef>
          </c:cat>
          <c:val>
            <c:numRef>
              <c:f>Graficos!$D$118:$D$123</c:f>
              <c:numCache/>
            </c:numRef>
          </c:val>
        </c:ser>
        <c:overlap val="100"/>
        <c:axId val="1716898770"/>
        <c:axId val="672886323"/>
      </c:barChart>
      <c:catAx>
        <c:axId val="1716898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72886323"/>
      </c:catAx>
      <c:valAx>
        <c:axId val="6728863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16898770"/>
      </c:valAx>
    </c:plotArea>
    <c:legend>
      <c:legendPos val="r"/>
      <c:layout>
        <c:manualLayout>
          <c:xMode val="edge"/>
          <c:yMode val="edge"/>
          <c:x val="0.36556206753849846"/>
          <c:y val="0.1697582019500000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Graficos!$B$132:$B$133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Graficos!$B$134:$B$139</c:f>
              <c:numCache/>
            </c:numRef>
          </c:val>
        </c:ser>
        <c:ser>
          <c:idx val="1"/>
          <c:order val="1"/>
          <c:tx>
            <c:strRef>
              <c:f>Graficos!$C$132:$C$133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Graficos!$C$134:$C$139</c:f>
              <c:numCache/>
            </c:numRef>
          </c:val>
        </c:ser>
        <c:ser>
          <c:idx val="2"/>
          <c:order val="2"/>
          <c:tx>
            <c:strRef>
              <c:f>Graficos!$D$132:$D$133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Graficos!$D$134:$D$139</c:f>
              <c:numCache/>
            </c:numRef>
          </c:val>
        </c:ser>
        <c:ser>
          <c:idx val="3"/>
          <c:order val="3"/>
          <c:tx>
            <c:strRef>
              <c:f>Graficos!$E$132:$E$133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Graficos!$E$134:$E$139</c:f>
              <c:numCache/>
            </c:numRef>
          </c:val>
        </c:ser>
        <c:ser>
          <c:idx val="4"/>
          <c:order val="4"/>
          <c:tx>
            <c:strRef>
              <c:f>Graficos!$F$132:$F$133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Graficos!$A$134:$A$139</c:f>
            </c:strRef>
          </c:cat>
          <c:val>
            <c:numRef>
              <c:f>Graficos!$F$134:$F$139</c:f>
              <c:numCache/>
            </c:numRef>
          </c:val>
        </c:ser>
        <c:axId val="1361094645"/>
        <c:axId val="1675271853"/>
      </c:barChart>
      <c:catAx>
        <c:axId val="1361094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75271853"/>
      </c:catAx>
      <c:valAx>
        <c:axId val="167527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61094645"/>
      </c:valAx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8.278145695364238E-4"/>
          <c:y val="0.13964435146443516"/>
          <c:w val="0.9790149006622517"/>
          <c:h val="0.7518828451882846"/>
        </c:manualLayout>
      </c:layout>
      <c:barChart>
        <c:barDir val="col"/>
        <c:grouping val="stacked"/>
        <c:ser>
          <c:idx val="0"/>
          <c:order val="0"/>
          <c:tx>
            <c:strRef>
              <c:f>Graficos!$B$150:$B$151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Graficos!$A$152:$A$157</c:f>
            </c:strRef>
          </c:cat>
          <c:val>
            <c:numRef>
              <c:f>Graficos!$B$152:$B$157</c:f>
              <c:numCache/>
            </c:numRef>
          </c:val>
        </c:ser>
        <c:ser>
          <c:idx val="1"/>
          <c:order val="1"/>
          <c:tx>
            <c:strRef>
              <c:f>Graficos!$C$150:$C$151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Graficos!$A$152:$A$157</c:f>
            </c:strRef>
          </c:cat>
          <c:val>
            <c:numRef>
              <c:f>Graficos!$C$152:$C$157</c:f>
              <c:numCache/>
            </c:numRef>
          </c:val>
        </c:ser>
        <c:ser>
          <c:idx val="2"/>
          <c:order val="2"/>
          <c:tx>
            <c:strRef>
              <c:f>Graficos!$D$150:$D$151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Graficos!$A$152:$A$157</c:f>
            </c:strRef>
          </c:cat>
          <c:val>
            <c:numRef>
              <c:f>Graficos!$D$152:$D$157</c:f>
              <c:numCache/>
            </c:numRef>
          </c:val>
        </c:ser>
        <c:overlap val="100"/>
        <c:axId val="1888817817"/>
        <c:axId val="220681652"/>
      </c:barChart>
      <c:catAx>
        <c:axId val="1888817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20681652"/>
      </c:catAx>
      <c:valAx>
        <c:axId val="22068165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88817817"/>
      </c:valAx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4824157931669826"/>
          <c:y val="0.16294642857142858"/>
          <c:w val="0.9777900333806011"/>
          <c:h val="0.7207070492446948"/>
        </c:manualLayout>
      </c:layout>
      <c:barChart>
        <c:barDir val="col"/>
        <c:ser>
          <c:idx val="0"/>
          <c:order val="0"/>
          <c:tx>
            <c:strRef>
              <c:f>Graficos!$B$166:$B$167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Graficos!$A$168:$A$173</c:f>
            </c:strRef>
          </c:cat>
          <c:val>
            <c:numRef>
              <c:f>Graficos!$B$168:$B$173</c:f>
              <c:numCache/>
            </c:numRef>
          </c:val>
        </c:ser>
        <c:axId val="467030618"/>
        <c:axId val="524849379"/>
      </c:barChart>
      <c:catAx>
        <c:axId val="467030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24849379"/>
      </c:catAx>
      <c:valAx>
        <c:axId val="52484937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67030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4824157931669826"/>
          <c:y val="0.06858007562892804"/>
          <c:w val="0.9769547354008599"/>
          <c:h val="0.8079889620279758"/>
        </c:manualLayout>
      </c:layout>
      <c:barChart>
        <c:barDir val="col"/>
        <c:ser>
          <c:idx val="0"/>
          <c:order val="0"/>
          <c:tx>
            <c:strRef>
              <c:f>Graficos!$B$181:$B$182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Graficos!$A$183:$A$188</c:f>
            </c:strRef>
          </c:cat>
          <c:val>
            <c:numRef>
              <c:f>Graficos!$B$183:$B$188</c:f>
              <c:numCache/>
            </c:numRef>
          </c:val>
        </c:ser>
        <c:axId val="399902016"/>
        <c:axId val="341716895"/>
      </c:barChart>
      <c:catAx>
        <c:axId val="39990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41716895"/>
      </c:catAx>
      <c:valAx>
        <c:axId val="34171689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99902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7112676056338031"/>
          <c:w val="0.9819536423841058"/>
          <c:h val="0.815492957746479"/>
        </c:manualLayout>
      </c:layout>
      <c:barChart>
        <c:barDir val="col"/>
        <c:ser>
          <c:idx val="0"/>
          <c:order val="0"/>
          <c:tx>
            <c:strRef>
              <c:f>Graficos!$B$197:$B$198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Graficos!$A$199:$A$204</c:f>
            </c:strRef>
          </c:cat>
          <c:val>
            <c:numRef>
              <c:f>Graficos!$B$199:$B$204</c:f>
              <c:numCache/>
            </c:numRef>
          </c:val>
        </c:ser>
        <c:axId val="880560427"/>
        <c:axId val="589244671"/>
      </c:barChart>
      <c:catAx>
        <c:axId val="880560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89244671"/>
      </c:catAx>
      <c:valAx>
        <c:axId val="58924467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80560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10262008733624454"/>
          <c:w val="0.9798382062207105"/>
          <c:h val="0.785448635145827"/>
        </c:manualLayout>
      </c:layout>
      <c:barChart>
        <c:barDir val="col"/>
        <c:ser>
          <c:idx val="0"/>
          <c:order val="0"/>
          <c:tx>
            <c:strRef>
              <c:f>Graficos!$B$211:$B$212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Graficos!$A$213:$A$218</c:f>
            </c:strRef>
          </c:cat>
          <c:val>
            <c:numRef>
              <c:f>Graficos!$B$213:$B$218</c:f>
              <c:numCache/>
            </c:numRef>
          </c:val>
        </c:ser>
        <c:axId val="171528596"/>
        <c:axId val="1203294446"/>
      </c:barChart>
      <c:catAx>
        <c:axId val="171528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03294446"/>
      </c:catAx>
      <c:valAx>
        <c:axId val="12032944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1528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06959606986899564"/>
          <c:w val="0.9806498344370861"/>
          <c:h val="0.8204148471615721"/>
        </c:manualLayout>
      </c:layout>
      <c:barChart>
        <c:barDir val="col"/>
        <c:ser>
          <c:idx val="0"/>
          <c:order val="0"/>
          <c:tx>
            <c:strRef>
              <c:f>Graficos!$B$226:$B$227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Graficos!$A$228:$A$233</c:f>
            </c:strRef>
          </c:cat>
          <c:val>
            <c:numRef>
              <c:f>Graficos!$B$228:$B$233</c:f>
              <c:numCache/>
            </c:numRef>
          </c:val>
        </c:ser>
        <c:axId val="1937457309"/>
        <c:axId val="1845195309"/>
      </c:barChart>
      <c:catAx>
        <c:axId val="1937457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45195309"/>
      </c:catAx>
      <c:valAx>
        <c:axId val="184519530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37457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8.264773734462703E-4"/>
          <c:y val="0.06944419633024483"/>
          <c:w val="0.9782392811452747"/>
          <c:h val="0.814835279652288"/>
        </c:manualLayout>
      </c:layout>
      <c:barChart>
        <c:barDir val="col"/>
        <c:ser>
          <c:idx val="0"/>
          <c:order val="0"/>
          <c:tx>
            <c:strRef>
              <c:f>Graficos!$B$241:$B$242</c:f>
            </c:strRef>
          </c:tx>
          <c:spPr>
            <a:solidFill>
              <a:srgbClr val="0C343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Graficos!$A$243:$A$248</c:f>
            </c:strRef>
          </c:cat>
          <c:val>
            <c:numRef>
              <c:f>Graficos!$B$243:$B$248</c:f>
              <c:numCache/>
            </c:numRef>
          </c:val>
        </c:ser>
        <c:axId val="1059368224"/>
        <c:axId val="1401506414"/>
      </c:barChart>
      <c:catAx>
        <c:axId val="105936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01506414"/>
      </c:catAx>
      <c:valAx>
        <c:axId val="140150641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59368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8.278145695364238E-4"/>
          <c:y val="0.13725000000000007"/>
          <c:w val="0.9780836092715233"/>
          <c:h val="0.7578000000000001"/>
        </c:manualLayout>
      </c:layout>
      <c:barChart>
        <c:barDir val="col"/>
        <c:grouping val="stacked"/>
        <c:ser>
          <c:idx val="0"/>
          <c:order val="0"/>
          <c:tx>
            <c:strRef>
              <c:f>Graficos!$B$256:$B$257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Graficos!$A$258:$A$263</c:f>
            </c:strRef>
          </c:cat>
          <c:val>
            <c:numRef>
              <c:f>Graficos!$B$258:$B$263</c:f>
              <c:numCache/>
            </c:numRef>
          </c:val>
        </c:ser>
        <c:ser>
          <c:idx val="1"/>
          <c:order val="1"/>
          <c:tx>
            <c:strRef>
              <c:f>Graficos!$C$256:$C$257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Graficos!$A$258:$A$263</c:f>
            </c:strRef>
          </c:cat>
          <c:val>
            <c:numRef>
              <c:f>Graficos!$C$258:$C$263</c:f>
              <c:numCache/>
            </c:numRef>
          </c:val>
        </c:ser>
        <c:overlap val="100"/>
        <c:axId val="729196535"/>
        <c:axId val="605436488"/>
      </c:barChart>
      <c:catAx>
        <c:axId val="729196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05436488"/>
      </c:catAx>
      <c:valAx>
        <c:axId val="6054364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29196535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4113532829812995"/>
          <c:y val="0.0698214783960459"/>
          <c:w val="0.991774625064924"/>
          <c:h val="0.8158088528380103"/>
        </c:manualLayout>
      </c:layout>
      <c:barChart>
        <c:barDir val="col"/>
        <c:ser>
          <c:idx val="0"/>
          <c:order val="0"/>
          <c:tx>
            <c:strRef>
              <c:f>Graficos!$B$272:$B$273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Graficos!$A$274:$A$279</c:f>
            </c:strRef>
          </c:cat>
          <c:val>
            <c:numRef>
              <c:f>Graficos!$B$274:$B$279</c:f>
              <c:numCache/>
            </c:numRef>
          </c:val>
        </c:ser>
        <c:axId val="175951148"/>
        <c:axId val="988310264"/>
      </c:barChart>
      <c:catAx>
        <c:axId val="175951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88310264"/>
      </c:catAx>
      <c:valAx>
        <c:axId val="9883102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5951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11830357142857142"/>
          <c:w val="0.9828390075229213"/>
          <c:h val="0.765349906387552"/>
        </c:manualLayout>
      </c:layout>
      <c:barChart>
        <c:barDir val="col"/>
        <c:ser>
          <c:idx val="0"/>
          <c:order val="0"/>
          <c:tx>
            <c:strRef>
              <c:f>Graficos!$B$287:$B$288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Graficos!$A$289:$A$294</c:f>
            </c:strRef>
          </c:cat>
          <c:val>
            <c:numRef>
              <c:f>Graficos!$B$289:$B$294</c:f>
              <c:numCache/>
            </c:numRef>
          </c:val>
        </c:ser>
        <c:axId val="1831165198"/>
        <c:axId val="699659327"/>
      </c:barChart>
      <c:catAx>
        <c:axId val="1831165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99659327"/>
      </c:catAx>
      <c:valAx>
        <c:axId val="69965932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31165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4113532829812995"/>
          <c:y val="0.16294642857142858"/>
          <c:w val="0.9787254746931083"/>
          <c:h val="0.7207070492446944"/>
        </c:manualLayout>
      </c:layout>
      <c:barChart>
        <c:barDir val="col"/>
        <c:ser>
          <c:idx val="0"/>
          <c:order val="0"/>
          <c:tx>
            <c:strRef>
              <c:f>Graficos!$B$302:$B$303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Graficos!$A$304:$A$309</c:f>
            </c:strRef>
          </c:cat>
          <c:val>
            <c:numRef>
              <c:f>Graficos!$B$304:$B$309</c:f>
              <c:numCache/>
            </c:numRef>
          </c:val>
        </c:ser>
        <c:axId val="268217852"/>
        <c:axId val="332608919"/>
      </c:barChart>
      <c:catAx>
        <c:axId val="268217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32608919"/>
      </c:catAx>
      <c:valAx>
        <c:axId val="33260891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68217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5440025" cy="25431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114300</xdr:rowOff>
    </xdr:from>
    <xdr:ext cx="15440025" cy="2876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885825</xdr:colOff>
      <xdr:row>36</xdr:row>
      <xdr:rowOff>57150</xdr:rowOff>
    </xdr:from>
    <xdr:ext cx="7667625" cy="3124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885825</xdr:colOff>
      <xdr:row>52</xdr:row>
      <xdr:rowOff>171450</xdr:rowOff>
    </xdr:from>
    <xdr:ext cx="7667625" cy="28670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885825</xdr:colOff>
      <xdr:row>67</xdr:row>
      <xdr:rowOff>152400</xdr:rowOff>
    </xdr:from>
    <xdr:ext cx="5467350" cy="31718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638175</xdr:colOff>
      <xdr:row>84</xdr:row>
      <xdr:rowOff>47625</xdr:rowOff>
    </xdr:from>
    <xdr:ext cx="5467350" cy="30194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628650</xdr:colOff>
      <xdr:row>100</xdr:row>
      <xdr:rowOff>0</xdr:rowOff>
    </xdr:from>
    <xdr:ext cx="7667625" cy="29527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409575</xdr:colOff>
      <xdr:row>114</xdr:row>
      <xdr:rowOff>123825</xdr:rowOff>
    </xdr:from>
    <xdr:ext cx="7667625" cy="31718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228600</xdr:colOff>
      <xdr:row>131</xdr:row>
      <xdr:rowOff>28575</xdr:rowOff>
    </xdr:from>
    <xdr:ext cx="4600575" cy="34004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257175</xdr:colOff>
      <xdr:row>146</xdr:row>
      <xdr:rowOff>9525</xdr:rowOff>
    </xdr:from>
    <xdr:ext cx="5524500" cy="35909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6</xdr:col>
      <xdr:colOff>114300</xdr:colOff>
      <xdr:row>164</xdr:row>
      <xdr:rowOff>152400</xdr:rowOff>
    </xdr:from>
    <xdr:ext cx="7667625" cy="28384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581025</xdr:colOff>
      <xdr:row>179</xdr:row>
      <xdr:rowOff>152400</xdr:rowOff>
    </xdr:from>
    <xdr:ext cx="7667625" cy="30289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342900</xdr:colOff>
      <xdr:row>195</xdr:row>
      <xdr:rowOff>28575</xdr:rowOff>
    </xdr:from>
    <xdr:ext cx="4895850" cy="27051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4</xdr:col>
      <xdr:colOff>257175</xdr:colOff>
      <xdr:row>209</xdr:row>
      <xdr:rowOff>95250</xdr:rowOff>
    </xdr:from>
    <xdr:ext cx="4895850" cy="290512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3</xdr:col>
      <xdr:colOff>628650</xdr:colOff>
      <xdr:row>224</xdr:row>
      <xdr:rowOff>152400</xdr:rowOff>
    </xdr:from>
    <xdr:ext cx="4895850" cy="290512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180975</xdr:colOff>
      <xdr:row>239</xdr:row>
      <xdr:rowOff>171450</xdr:rowOff>
    </xdr:from>
    <xdr:ext cx="5276850" cy="290512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4</xdr:col>
      <xdr:colOff>409575</xdr:colOff>
      <xdr:row>254</xdr:row>
      <xdr:rowOff>171450</xdr:rowOff>
    </xdr:from>
    <xdr:ext cx="5095875" cy="317182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4</xdr:col>
      <xdr:colOff>257175</xdr:colOff>
      <xdr:row>271</xdr:row>
      <xdr:rowOff>19050</xdr:rowOff>
    </xdr:from>
    <xdr:ext cx="7724775" cy="28384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2</xdr:col>
      <xdr:colOff>771525</xdr:colOff>
      <xdr:row>285</xdr:row>
      <xdr:rowOff>161925</xdr:rowOff>
    </xdr:from>
    <xdr:ext cx="7724775" cy="283845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9</xdr:col>
      <xdr:colOff>28575</xdr:colOff>
      <xdr:row>301</xdr:row>
      <xdr:rowOff>95250</xdr:rowOff>
    </xdr:from>
    <xdr:ext cx="5172075" cy="283845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67" sheet="Base_Respostas"/>
  </cacheSource>
  <cacheFields>
    <cacheField name="Nome Startup / Equity" numFmtId="0">
      <sharedItems>
        <s v="Bumy Social"/>
        <s v="Sentinela Web3"/>
        <s v="NoRed"/>
        <s v="SecBrain"/>
        <s v="Ichello"/>
        <s v="ROY"/>
      </sharedItems>
    </cacheField>
    <cacheField name="Identificação da dor, problema e solução" numFmtId="0">
      <sharedItems containsSemiMixedTypes="0" containsString="0" containsNumber="1" containsInteger="1">
        <n v="3.0"/>
        <n v="4.0"/>
        <n v="1.0"/>
        <n v="2.0"/>
      </sharedItems>
    </cacheField>
    <cacheField name="Modelo de Negócio é Escalável?" numFmtId="0">
      <sharedItems containsSemiMixedTypes="0" containsString="0" containsNumber="1" containsInteger="1">
        <n v="1.0"/>
        <n v="2.0"/>
        <n v="3.0"/>
      </sharedItems>
    </cacheField>
    <cacheField name="Tamanho do Mercado é Atrativo?" numFmtId="0">
      <sharedItems containsSemiMixedTypes="0" containsString="0" containsNumber="1" containsInteger="1">
        <n v="3.0"/>
        <n v="1.0"/>
        <n v="2.0"/>
        <n v="4.0"/>
      </sharedItems>
    </cacheField>
    <cacheField name=" Há evidências claras de demanda (early adopters, contratos, pré-vendas)?" numFmtId="0">
      <sharedItems containsBlank="1">
        <s v="Não"/>
        <s v="Sim"/>
        <m/>
      </sharedItems>
    </cacheField>
    <cacheField name="A solução do modelo de negócio apresentado é inovador?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 A tecnologia desenvolvida é proprietária (propriedade intectual)?" numFmtId="0">
      <sharedItems containsBlank="1">
        <s v="Sim"/>
        <s v="Não ficou claro"/>
        <s v="Não"/>
        <m/>
      </sharedItems>
    </cacheField>
    <cacheField name="Desenvolvimento Tecnológico" numFmtId="0">
      <sharedItems containsBlank="1">
        <s v="Desenvolvimento inicial"/>
        <s v="MVP"/>
        <s v="Pré desenvolvimento (ideação)"/>
        <s v="Prototipagem"/>
        <s v="Produto final"/>
        <m/>
      </sharedItems>
    </cacheField>
    <cacheField name="A tecnologia cumpre requisitos de segurança e regulamentação?" numFmtId="0">
      <sharedItems containsBlank="1">
        <s v="Não ficou claro"/>
        <s v="Sim"/>
        <m/>
        <s v="Não"/>
      </sharedItems>
    </cacheField>
    <cacheField name="O modelo de negócios já foi testado no mercado e é financeiramente sustentável no longo prazo?" numFmtId="0">
      <sharedItems containsString="0" containsBlank="1" containsNumber="1" containsInteger="1">
        <n v="3.0"/>
        <n v="4.0"/>
        <n v="2.0"/>
        <m/>
        <n v="5.0"/>
        <n v="1.0"/>
      </sharedItems>
    </cacheField>
    <cacheField name="A startup possui múltiplos fluxos de receita e canais de distribuição eficientes e escaláveis?" numFmtId="0">
      <sharedItems containsString="0" containsBlank="1" containsNumber="1" containsInteger="1">
        <n v="2.0"/>
        <n v="3.0"/>
        <n v="1.0"/>
        <m/>
        <n v="5.0"/>
        <n v="4.0"/>
      </sharedItems>
    </cacheField>
    <cacheField name=" Os fundadores têm experiência relevante no setor?" numFmtId="0">
      <sharedItems containsSemiMixedTypes="0" containsString="0" containsNumber="1" containsInteger="1">
        <n v="3.0"/>
        <n v="4.0"/>
        <n v="5.0"/>
        <n v="2.0"/>
        <n v="1.0"/>
      </sharedItems>
    </cacheField>
    <cacheField name=" Os fundadores estão 100% dedicados à startup?  " numFmtId="0">
      <sharedItems containsString="0" containsBlank="1" containsNumber="1" containsInteger="1">
        <n v="4.0"/>
        <n v="3.0"/>
        <n v="2.0"/>
        <n v="5.0"/>
        <n v="1.0"/>
        <m/>
      </sharedItems>
    </cacheField>
    <cacheField name=" A startup tem uma vantagem competitiva sustentável?" numFmtId="0">
      <sharedItems containsSemiMixedTypes="0" containsString="0" containsNumber="1" containsInteger="1">
        <n v="2.0"/>
        <n v="4.0"/>
        <n v="3.0"/>
        <n v="5.0"/>
        <n v="1.0"/>
      </sharedItems>
    </cacheField>
    <cacheField name=" A startup está bem posicionada em relação aos concorrentes?" numFmtId="0">
      <sharedItems containsBlank="1">
        <s v="Não"/>
        <s v="Sim"/>
        <m/>
      </sharedItems>
    </cacheField>
    <cacheField name=" A startup possui caixa suficiente para atingir seus próximos marcos?" numFmtId="0">
      <sharedItems containsString="0" containsBlank="1" containsNumber="1" containsInteger="1">
        <n v="0.0"/>
        <n v="5.0"/>
        <n v="2.0"/>
        <n v="4.0"/>
        <n v="1.0"/>
        <n v="3.0"/>
        <n v="6.0"/>
        <m/>
      </sharedItems>
    </cacheField>
    <cacheField name="A diluição dos fundadores é razoável?  " numFmtId="0">
      <sharedItems containsString="0" containsBlank="1" containsNumber="1" containsInteger="1">
        <n v="0.0"/>
        <n v="5.0"/>
        <n v="4.0"/>
        <m/>
        <n v="3.0"/>
      </sharedItems>
    </cacheField>
    <cacheField name="A startup está alinhada com os princípios ESG (ambientais, sociais e de governança) e agrega valor intangível para a sociedade ou meio ambiente?" numFmtId="0">
      <sharedItems containsString="0" containsBlank="1" containsNumber="1" containsInteger="1">
        <m/>
        <n v="1.0"/>
        <n v="2.0"/>
        <n v="3.0"/>
        <n v="4.0"/>
        <n v="5.0"/>
      </sharedItems>
    </cacheField>
    <cacheField name="O que a startup precisa que a IARIS pode oferecer a curto prazo?" numFmtId="0">
      <sharedItems containsBlank="1">
        <s v="Acesso ao capital, Mentoria, Contatos relevantes, Governança e Planejamento"/>
        <s v="Mentoria, Governança e Planejamento, Acesso a programas (Sebrae, Finep, Embrapii, Seed, etc.)"/>
        <s v="Acesso ao capital, Mentoria, Contatos relevantes, Clientes/Receita, Governança e Planejamento, Acesso a programas (Sebrae, Finep, Embrapii, Seed, etc.)"/>
        <s v="Mentoria, Governança e Planejamento"/>
        <s v="Acesso ao capital, Governança e Planejamento"/>
        <s v="Acesso ao capital, Mentoria, Contatos relevantes, Clientes/Receita, Governança e Planejamento, Serviços (Financeiro, MKT, Comercial, IA), Acesso a programas (Sebrae, Finep, Embrapii, Seed, etc.)"/>
        <s v="Acesso ao capital, Mentoria"/>
        <s v="Acesso ao capital, Mentoria, Contatos relevantes, Clientes/Receita, Acesso a programas (Sebrae, Finep, Embrapii, Seed, etc.)"/>
        <s v="Acesso ao capital, Mentoria, Clientes/Receita, Governança e Planejamento, Serviços (Financeiro, MKT, Comercial, IA)"/>
        <s v="Acesso ao capital, Clientes/Receita"/>
        <s v="Acesso ao capital, Mentoria, Contatos relevantes, Governança e Planejamento, Acesso a programas (Sebrae, Finep, Embrapii, Seed, etc.)"/>
        <s v="Acesso ao capital, Mentoria, Governança e Planejamento, Acesso a programas (Sebrae, Finep, Embrapii, Seed, etc.)"/>
        <s v="Acesso ao capital, Mentoria, Governança e Planejamento, Serviços (Financeiro, MKT, Comercial, IA), Acesso a programas (Sebrae, Finep, Embrapii, Seed, etc.)"/>
        <s v="Acesso ao capital"/>
        <s v="Contatos relevantes, Clientes/Receita, Governança e Planejamento"/>
        <s v="Mentoria, Contatos relevantes, Serviços (Financeiro, MKT, Comercial, IA), Acesso a programas (Sebrae, Finep, Embrapii, Seed, etc.)"/>
        <s v="Serviços (Financeiro, MKT, Comercial, IA)"/>
        <s v="Acesso ao capital, Serviços (Financeiro, MKT, Comercial, IA)"/>
        <s v="Mentoria, Serviços (Financeiro, MKT, Comercial, IA), Acesso a programas (Sebrae, Finep, Embrapii, Seed, etc.)"/>
        <s v="Acesso ao capital, Clientes/Receita, Serviços (Financeiro, MKT, Comercial, IA)"/>
        <s v="Acesso ao capital, Mentoria, Contatos relevantes, Clientes/Receita, Governança e Planejamento, Serviços (Financeiro, MKT, Comercial, IA)"/>
        <s v="Mentoria, Clientes/Receita, Serviços (Financeiro, MKT, Comercial, IA), Acesso a programas (Sebrae, Finep, Embrapii, Seed, etc.)"/>
        <s v="Mentoria, Contatos relevantes, Clientes/Receita, Governança e Planejamento, Acesso a programas (Sebrae, Finep, Embrapii, Seed, etc.)"/>
        <s v="Acesso ao capital, Mentoria, Clientes/Receita, Governança e Planejamento"/>
        <s v="Acesso ao capital, Mentoria, Governança e Planejamento"/>
        <s v="Acesso ao capital, Mentoria, Serviços (Financeiro, MKT, Comercial, IA)"/>
        <s v="Mentoria, Contatos relevantes, Governança e Planejamento, Serviços (Financeiro, MKT, Comercial, IA), Acesso a programas (Sebrae, Finep, Embrapii, Seed, etc.)"/>
        <s v="Mentoria, Clientes/Receita, Governança e Planejamento, Serviços (Financeiro, MKT, Comercial, IA)"/>
        <s v="Acesso ao capital, Mentoria, Contatos relevantes, Governança e Planejamento, Serviços (Financeiro, MKT, Comercial, IA), Acesso a programas (Sebrae, Finep, Embrapii, Seed, etc.)"/>
        <s v="Acesso ao capital, Contatos relevantes, Governança e Planejamento, Serviços (Financeiro, MKT, Comercial, IA), Acesso a programas (Sebrae, Finep, Embrapii, Seed, etc.)"/>
        <s v="Governança e Planejamento, Serviços (Financeiro, MKT, Comercial, IA)"/>
        <s v="Mentoria, Governança e Planejamento, Serviços (Financeiro, MKT, Comercial, IA)"/>
        <s v="Mentoria, Contatos relevantes, Clientes/Receita, Governança e Planejamento"/>
        <s v="Mentoria, Serviços (Financeiro, MKT, Comercial, IA)"/>
        <s v="Mentoria, Governança e Planejamento, Serviços (Financeiro, MKT, Comercial, IA), Acesso a programas (Sebrae, Finep, Embrapii, Seed, etc.)"/>
        <m/>
        <s v="Acesso ao capital, Contatos relevantes, Clientes/Receita, Governança e Planejamento, Serviços (Financeiro, MKT, Comercial, IA), Acesso a programas (Sebrae, Finep, Embrapii, Seed, etc.)"/>
      </sharedItems>
    </cacheField>
    <cacheField name="De 0 a 10, qual a sua nota final para esta startup?" numFmtId="0">
      <sharedItems containsSemiMixedTypes="0" containsString="0" containsNumber="1" containsInteger="1">
        <n v="6.0"/>
        <n v="5.0"/>
        <n v="7.0"/>
        <n v="8.0"/>
        <n v="10.0"/>
        <n v="9.0"/>
        <n v="4.0"/>
        <n v="3.0"/>
      </sharedItems>
    </cacheField>
    <cacheField name="Você aprovaria essa startups em nosso Investor Day?" numFmtId="0">
      <sharedItems containsBlank="1">
        <s v="Não"/>
        <s v="Sim"/>
        <m/>
      </sharedItems>
    </cacheField>
    <cacheField name="Comentários gerais" numFmtId="0">
      <sharedItems containsBlank="1">
        <m/>
        <s v="Achei muito early stage e em desenvolvimento ainda ... "/>
        <s v="Não vi grande diferencial competitivo. "/>
        <s v="Há muito caminho para a ferramenta ficar completa, senti falta da demonstração de próximos passos. "/>
        <s v="Discutimos depois rsrs"/>
        <s v="Entendendo que a base da startup está na metodologia criada pela Jessyca, ela precisará se posicionar como referência em seu segmento como os fundadores da Hubspot fizeram no passado e a RD Station fez no Brasil. Ela precisará deixar claro para o mercado "/>
        <s v="Parabéns pela apresentação e pelo empreendimento. Fez sentido para mim e inclusive fiquei interessado para meu empreendimento."/>
        <s v="Pitch incompleto... creio vale ter mais detalhamento quanto a mercado potencial e difereciais . Nichado em Cripto, o que pode ser uma vantagem . "/>
        <s v="Solução bem complexa em um mercado novo, time com certa deficiencia, perderam o CTO recentemente... Fica minha dúvida sobre a capacidade de execução do projeto. "/>
        <s v="Alguns &quot;Não&quot; que dei foi devido a startup ser ainda uma ideia e sendo de base tecnológica não ter um CTO para desenvolve-lá. Eles precisam começar com algo para validar as hipoteses pelo menos.&#10;&#10;Um outro ponto é que ela precisa nascer global, não tem como"/>
        <s v="Sendo o foco em cripto, o público alvo já conhece suficiente para controlar sua wallet"/>
        <s v="Equipe apresentada não tem backgorund requerido para o desenvolvimento da ideia. Considero um ponto extremamente crítico"/>
        <s v="Precisa desenvolver um pouco para trazer para o portfolio, startup não possui produto no momento."/>
        <s v="Creio que ainda não é o momento para essa Startup. A Startup não identificou os concorrentes diretos/indiretos do mercado nacional e existem opções mais completas no mercado, inclusive nacionais."/>
        <s v="Ha que ter segurança quanto aos parceiros de tecnologia de Block Chain. Talvez juntar o pessoal do WEB 3 com eles... &#10;"/>
        <s v="Ideia inusitada e com pouca visibilidade. Winner takes all?"/>
        <s v="Mercado bem específico, a dor é apresentada como muita informalidade, não emissão de NFs, etc... Será que o sistema resolveria isso ou é uma característica desse mercado? Será necessário buscar sócios para apoiar a construção e evolução do produto. Talvez"/>
        <s v="A Startup tem uma ideia muito interessante e um diferencial de mercado evidente. Mas acredito que a empresa ainda não está em uma fase adequada para entrar na Iaris. Acredito que evoluindo para um MVP e validando o modelo já seria um ótimo marco. Inclusiv"/>
        <s v="A ideia é boa, mas ele precisa de execução.É um mercado regulado e ele não tem equipe. Coloca o desafio dele realizar o MVP, se ele realizar o MVP vale chamar para o portfólio, caso contrário não compensa."/>
        <s v="Precisa desenvolver mais o produto e validar a solução!"/>
        <s v="Tem muito trabalho a ser feito para formar uma equipe. Não deixou claro qual como fará a verificação de dados, parte crucial para a formalização das atividades. No dimensionamento de mercado, tomou o mercado informal como um todo, não indicando se existe "/>
        <s v="Falta sócio complementar, mas parece ser uma boa solução! Founder tech, aparentemente sabe bem o fluxo de construção, etc... "/>
        <s v="Potencial interessante, boa usabilidade. Investível. "/>
        <s v="Não testei a nova versão, mas o app faz sentido para mim. Inclusive uso o Pocket para reunir videos para ter ideias de criativos e, no caso do Pocket, não processa o conteúdo salvo. E salvar os videos nas plataformas sociais não é suficiente. Talvez preci"/>
        <s v="Pitch muito bem estruturado. Modelo de receita a ser aprimorado."/>
        <s v="Até agora a melhor startup que se apresentou. Eles são um micro SaaS, mas é uma boa ter uma dessas no portfólio, seja para um early exit ou para um plano de dividendos."/>
        <s v="É um mercado regulado CVM com bons players, mas vale o investimento."/>
        <s v="Startup precisa entrar no portfolio da Iaris solução altamente lucrativa e escalável precisa somente ajusta com relação a regulamentação."/>
        <s v="Mercado de música é gigantesco, tem muito público apaixonado por artista, etc... isso acaba gerando um bom engajamento, imagino que possa ser uma boa solução. Minha dúvida é o modelo de negócio. Precisa avançar com a parte regulatória / crowdfunding. "/>
        <s v="Grande potencial de mercado, apresenta MVP validado e ja fatura. O CEO está comprometido. Faz sentido ingressar na Iaris."/>
        <s v="Gerenciar melhor o tempo. Solidificar o business case,"/>
        <s v="Modelo crowdfunding sempre interessante. Se engatar, a demanda dos artistas pode virar orgânica"/>
        <s v="Mercado bastante competitivo e regulado na musica... "/>
        <s v="Coloquei &quot;sim&quot; na apresentação, mas depende. Teria que ter no mínimo 10% de participação por eles, algo na casa de 13% faria mais sentido. Estão bem embrionários, mas se trabalhar bem a estruturação, tecnologia para sustentar e bons contatos pode ser que "/>
        <s v="Não demonstrou que o mercado alvo realmente compraria"/>
        <s v="Não parece escalável, pois cada cliente exige algo customizado. Captação complicada"/>
        <s v="Tenho minhas dúvidas do modelo de receita, principalmente por ser 100% variável, há uma caminhada grande ainda de validação e construção, mas é um mercado gigantesco e que está crescendo bastante... Aparentemente os sócios conhecem o mercado e possuem bon"/>
        <s v="Creio que o backgroud dos sócios é um diferencial da plataforma. Tem grandes Players no mercado, mas acredito que a Iaris possa contribuir com o crescimento da empresa."/>
        <s v="Eu achei muito incipiente ainda a ideia e não sei se vale a pena a relação entre esforço e resultado no desenvolvimento dessa startup.&#10;O empreendedor ainda tem uma visão difusa sobre o assunto e pouco experiência na área.&#10;Acho a ideia com potencial muito "/>
        <s v="Empreendedor bem interessante, achei o melhor de toda a rodada.&#10;Acho a solução interessante, porém dois pontos me deixam reticente:&#10;1) Solução pouco aderente na nossa tese. Nada contra, a princípio, mas pensando que adiantamos essa primeira rodada pensand"/>
        <s v="Foi a que mais me chamou a atenção! Acho que vale a pena prosseguir com ela, mesmo tendo um equity menor.&#10;Acho que o suporte a ele em termo de governança tem que ser imediato: &#10;1) Colocar ele dentro da legalidade ao estruturar a operação conforme regulame"/>
        <s v="Apesar de não ter conseguido gerenciar bem o tempo de apresentação, entendi razoavelmente o modelo e é bem interessante. De fato, é inovador!&#10;&#10;Só que ainda está bem incipiente e não está claro para mim (e talvez nem tanto para os idealizadores) como escal"/>
      </sharedItems>
    </cacheField>
    <cacheField name="Em comparação com o mercado, a solução apresentada se mostra em qual grau de atratividade na sua opinião?" numFmtId="0">
      <sharedItems containsSemiMixedTypes="0" containsString="0" containsNumber="1" containsInteger="1">
        <n v="3.0"/>
        <n v="4.0"/>
        <n v="5.0"/>
        <n v="2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2:B9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De 0 a 10, qual a sua nota final para esta startup?" fld="19" subtotal="average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A12:E20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20"/>
  </colFields>
  <dataFields>
    <dataField name="COUNTA of Você aprovaria essa startups em nosso Investor Day?" fld="20" subtotal="count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A23:B30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dataField="1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Identificação da dor, problema e solução" fld="1" subtotal="average" baseField="0"/>
  </dataFields>
</pivotTableDefinition>
</file>

<file path=xl/pivotTables/pivotTable4.xml><?xml version="1.0" encoding="utf-8"?>
<pivotTableDefinition xmlns="http://schemas.openxmlformats.org/spreadsheetml/2006/main" name="Tabela dinâmica 4" cacheId="0" dataCaption="" compact="0" compactData="0">
  <location ref="A33:B40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dataField="1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Modelo de Negócio é Escalável?" fld="2" subtotal="average" baseField="0"/>
  </dataFields>
</pivotTableDefinition>
</file>

<file path=xl/pivotTables/pivotTable5.xml><?xml version="1.0" encoding="utf-8"?>
<pivotTableDefinition xmlns="http://schemas.openxmlformats.org/spreadsheetml/2006/main" name="Tabela dinâmica 5" cacheId="0" dataCaption="" compact="0" compactData="0">
  <location ref="A43:B50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dataField="1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Tamanho do Mercado é Atrativo?" fld="3" subtotal="average" baseField="0"/>
  </dataFields>
</pivotTableDefinition>
</file>

<file path=xl/pivotTables/pivotTable6.xml><?xml version="1.0" encoding="utf-8"?>
<pivotTableDefinition xmlns="http://schemas.openxmlformats.org/spreadsheetml/2006/main" name="Tabela dinâmica 6" cacheId="0" dataCaption="" compact="0" compactData="0">
  <location ref="A53:E61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4"/>
  </colFields>
  <dataFields>
    <dataField name="COUNTA of  Há evidências claras de demanda (early adopters, contratos, pré-vendas)?" fld="4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Tabela dinâmica 7" cacheId="0" dataCaption="" compact="0" compactData="0">
  <location ref="A64:B71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solução do modelo de negócio apresentado é inovador?" fld="5" subtotal="average" baseField="0"/>
  </dataFields>
</pivotTableDefinition>
</file>

<file path=xl/pivotTables/pivotTable8.xml><?xml version="1.0" encoding="utf-8"?>
<pivotTableDefinition xmlns="http://schemas.openxmlformats.org/spreadsheetml/2006/main" name="Tabela dinâmica 8" cacheId="0" dataCaption="" compact="0" compactData="0">
  <location ref="A74:F82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axis="axisCol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6"/>
  </colFields>
  <dataFields>
    <dataField name="COUNTA of  A tecnologia desenvolvida é proprietária (propriedade intectual)?" fld="6" subtotal="count" showDataAs="percentOfRow" baseField="0" numFmtId="10"/>
  </dataFields>
</pivotTableDefinition>
</file>

<file path=xl/pivotTables/pivotTable9.xml><?xml version="1.0" encoding="utf-8"?>
<pivotTableDefinition xmlns="http://schemas.openxmlformats.org/spreadsheetml/2006/main" name="Tabela dinâmica 9" cacheId="0" dataCaption="" compact="0" compactData="0">
  <location ref="A85:H93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axis="axisCol" dataField="1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7"/>
  </colFields>
  <dataFields>
    <dataField name="COUNTA of Desenvolvimento Tecnológico" fld="7" subtotal="count" showDataAs="percentOfRow" baseField="0" numFmtId="10"/>
  </dataFields>
</pivotTableDefinition>
</file>

<file path=xl/pivotTables/pivotTable10.xml><?xml version="1.0" encoding="utf-8"?>
<pivotTableDefinition xmlns="http://schemas.openxmlformats.org/spreadsheetml/2006/main" name="Tabela dinâmica 10" cacheId="0" dataCaption="" compact="0" compactData="0">
  <location ref="A96:F104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axis="axisCol" dataField="1" compact="0" outline="0" multipleItemSelectionAllowed="1" showAll="0" sortType="ascending">
      <items>
        <item x="2"/>
        <item x="3"/>
        <item x="0"/>
        <item x="1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8"/>
  </colFields>
  <dataFields>
    <dataField name="COUNTA of A tecnologia cumpre requisitos de segurança e regulamentação?" fld="8" subtotal="count" showDataAs="percentOfRow" baseField="0" numFmtId="10"/>
  </dataFields>
</pivotTableDefinition>
</file>

<file path=xl/pivotTables/pivotTable11.xml><?xml version="1.0" encoding="utf-8"?>
<pivotTableDefinition xmlns="http://schemas.openxmlformats.org/spreadsheetml/2006/main" name="Tabela dinâmica 11" cacheId="0" dataCaption="" compact="0" compactData="0">
  <location ref="A107:B11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O modelo de negócios já foi testado no mercado e é financeiramente sustentável no longo prazo?" fld="9" subtotal="average" baseField="0"/>
  </dataFields>
</pivotTableDefinition>
</file>

<file path=xl/pivotTables/pivotTable12.xml><?xml version="1.0" encoding="utf-8"?>
<pivotTableDefinition xmlns="http://schemas.openxmlformats.org/spreadsheetml/2006/main" name="Tabela dinâmica 12" cacheId="0" dataCaption="" compact="0" compactData="0">
  <location ref="A117:B12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startup possui múltiplos fluxos de receita e canais de distribuição eficientes e escaláveis?" fld="10" subtotal="average" baseField="0"/>
  </dataFields>
</pivotTableDefinition>
</file>

<file path=xl/pivotTables/pivotTable13.xml><?xml version="1.0" encoding="utf-8"?>
<pivotTableDefinition xmlns="http://schemas.openxmlformats.org/spreadsheetml/2006/main" name="Tabela dinâmica 13" cacheId="0" dataCaption="" compact="0" compactData="0">
  <location ref="A127:B13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Os fundadores têm experiência relevante no setor?" fld="11" subtotal="average" baseField="0"/>
  </dataFields>
</pivotTableDefinition>
</file>

<file path=xl/pivotTables/pivotTable14.xml><?xml version="1.0" encoding="utf-8"?>
<pivotTableDefinition xmlns="http://schemas.openxmlformats.org/spreadsheetml/2006/main" name="Tabela dinâmica 14" cacheId="0" dataCaption="" compact="0" compactData="0">
  <location ref="A137:B14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Os fundadores estão 100% dedicados à startup?  " fld="12" subtotal="average" baseField="0"/>
  </dataFields>
</pivotTableDefinition>
</file>

<file path=xl/pivotTables/pivotTable15.xml><?xml version="1.0" encoding="utf-8"?>
<pivotTableDefinition xmlns="http://schemas.openxmlformats.org/spreadsheetml/2006/main" name="Tabela dinâmica 15" cacheId="0" dataCaption="" compact="0" compactData="0">
  <location ref="A147:B15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A startup tem uma vantagem competitiva sustentável?" fld="13" subtotal="average" baseField="0"/>
  </dataFields>
</pivotTableDefinition>
</file>

<file path=xl/pivotTables/pivotTable16.xml><?xml version="1.0" encoding="utf-8"?>
<pivotTableDefinition xmlns="http://schemas.openxmlformats.org/spreadsheetml/2006/main" name="Tabela dinâmica 16" cacheId="0" dataCaption="" compact="0" compactData="0">
  <location ref="A157:B164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Em comparação com o mercado, a solução apresentada se mostra em qual grau de atratividade na sua opinião?" fld="22" subtotal="average" baseField="0"/>
  </dataFields>
</pivotTableDefinition>
</file>

<file path=xl/pivotTables/pivotTable17.xml><?xml version="1.0" encoding="utf-8"?>
<pivotTableDefinition xmlns="http://schemas.openxmlformats.org/spreadsheetml/2006/main" name="Tabela dinâmica 17" cacheId="0" dataCaption="" compact="0" compactData="0">
  <location ref="A167:E175" firstHeaderRow="0" firstDataRow="1" firstDataCol="1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14"/>
  </colFields>
  <dataFields>
    <dataField name="COUNTA of  A startup está bem posicionada em relação aos concorrentes?" fld="14" subtotal="count" showDataAs="percentOfRow" baseField="0" numFmtId="10"/>
  </dataFields>
</pivotTableDefinition>
</file>

<file path=xl/pivotTables/pivotTable18.xml><?xml version="1.0" encoding="utf-8"?>
<pivotTableDefinition xmlns="http://schemas.openxmlformats.org/spreadsheetml/2006/main" name="Tabela dinâmica 18" cacheId="0" dataCaption="" compact="0" compactData="0">
  <location ref="A178:B185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 A startup possui caixa suficiente para atingir seus próximos marcos?" fld="15" subtotal="average" baseField="0"/>
  </dataFields>
</pivotTableDefinition>
</file>

<file path=xl/pivotTables/pivotTable19.xml><?xml version="1.0" encoding="utf-8"?>
<pivotTableDefinition xmlns="http://schemas.openxmlformats.org/spreadsheetml/2006/main" name="Tabela dinâmica 19" cacheId="0" dataCaption="" compact="0" compactData="0">
  <location ref="A188:B195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diluição dos fundadores é razoável?  " fld="16" subtotal="average" baseField="0"/>
  </dataFields>
</pivotTableDefinition>
</file>

<file path=xl/pivotTables/pivotTable20.xml><?xml version="1.0" encoding="utf-8"?>
<pivotTableDefinition xmlns="http://schemas.openxmlformats.org/spreadsheetml/2006/main" name="Tabela dinâmica 20" cacheId="0" dataCaption="" compact="0" compactData="0">
  <location ref="A198:B205" firstHeaderRow="0" firstDataRow="1" firstDataCol="0"/>
  <pivotFields>
    <pivotField name="Nome Startup / Equity" axis="axisRow" compact="0" outline="0" multipleItemSelectionAllowed="1" showAll="0" sortType="ascending">
      <items>
        <item x="0"/>
        <item x="4"/>
        <item x="2"/>
        <item x="5"/>
        <item x="3"/>
        <item x="1"/>
        <item t="default"/>
      </items>
    </pivotField>
    <pivotField name="Identificação da dor, problema e solução" compact="0" outline="0" multipleItemSelectionAllowed="1" showAll="0">
      <items>
        <item x="0"/>
        <item x="1"/>
        <item x="2"/>
        <item x="3"/>
        <item t="default"/>
      </items>
    </pivotField>
    <pivotField name="Modelo de Negócio é Escalável?" compact="0" outline="0" multipleItemSelectionAllowed="1" showAll="0">
      <items>
        <item x="0"/>
        <item x="1"/>
        <item x="2"/>
        <item t="default"/>
      </items>
    </pivotField>
    <pivotField name="Tamanho do Mercado é Atrativo?" compact="0" outline="0" multipleItemSelectionAllowed="1" showAll="0">
      <items>
        <item x="0"/>
        <item x="1"/>
        <item x="2"/>
        <item x="3"/>
        <item t="default"/>
      </items>
    </pivotField>
    <pivotField name=" Há evidências claras de demanda (early adopters, contratos, pré-vendas)?" compact="0" outline="0" multipleItemSelectionAllowed="1" showAll="0">
      <items>
        <item x="0"/>
        <item x="1"/>
        <item x="2"/>
        <item t="default"/>
      </items>
    </pivotField>
    <pivotField name="A solução do modelo de negócio apresentado é inovad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tecnologia desenvolvida é proprietária (propriedade intectual)?" compact="0" outline="0" multipleItemSelectionAllowed="1" showAll="0">
      <items>
        <item x="0"/>
        <item x="1"/>
        <item x="2"/>
        <item x="3"/>
        <item t="default"/>
      </items>
    </pivotField>
    <pivotField name="Desenvolvimento Tecnológic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tecnologia cumpre requisitos de segurança e regulamentação?" compact="0" outline="0" multipleItemSelectionAllowed="1" showAll="0">
      <items>
        <item x="0"/>
        <item x="1"/>
        <item x="2"/>
        <item x="3"/>
        <item t="default"/>
      </items>
    </pivotField>
    <pivotField name="O modelo de negócios já foi testado no mercado e é financeiramente sustentável no longo praz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 startup possui múltiplos fluxos de receita e canais de distribuição eficientes e escalávei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Os fundadores têm experiência relevante no se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Os fundadores estão 100% dedicados à startup? 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A startup tem uma vantagem competitiva sustentável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A startup está bem posicionada em relação aos concorrentes?" compact="0" outline="0" multipleItemSelectionAllowed="1" showAll="0">
      <items>
        <item x="0"/>
        <item x="1"/>
        <item x="2"/>
        <item t="default"/>
      </items>
    </pivotField>
    <pivotField name=" A startup possui caixa suficiente para atingir seus próximos marcos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 diluição dos fundadores é razoável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 startup está alinhada com os princípios ESG (ambientais, sociais e de governança) e agrega valor intangível para a sociedade ou meio ambiente?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 que a startup precisa que a IARIS pode oferecer a curto praz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e 0 a 10, qual a sua nota final para esta startup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ocê aprovaria essa startups em nosso Investor Day?" compact="0" outline="0" multipleItemSelectionAllowed="1" showAll="0">
      <items>
        <item x="0"/>
        <item x="1"/>
        <item x="2"/>
        <item t="default"/>
      </items>
    </pivotField>
    <pivotField name="Comentários gera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m comparação com o mercado, a solução apresentada se mostra em qual grau de atratividade na sua opinião?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AVERAGE of A startup está alinhada com os princípios ESG (ambientais, sociais e de governança) e agrega valor intangível para a sociedade ou meio ambiente?" fld="17" subtotal="average" baseField="0"/>
  </dataFields>
</pivotTableDefinition>
</file>

<file path=xl/tables/table1.xml><?xml version="1.0" encoding="utf-8"?>
<table xmlns="http://schemas.openxmlformats.org/spreadsheetml/2006/main" headerRowCount="0" ref="A3:A7" displayName="Table_1" name="Table_1" id="1">
  <tableColumns count="1">
    <tableColumn name="Column1" id="1"/>
  </tableColumns>
  <tableStyleInfo name="Analise qualitativa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A18" displayName="Table_2" name="Table_2" id="2">
  <tableColumns count="1">
    <tableColumn name="Column1" id="1"/>
  </tableColumns>
  <tableStyleInfo name="Analise qualitativ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2:A29" displayName="Table_3" name="Table_3" id="3">
  <tableColumns count="1">
    <tableColumn name="Column1" id="1"/>
  </tableColumns>
  <tableStyleInfo name="Analise qualitativ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3:A38" displayName="Table_4" name="Table_4" id="4">
  <tableColumns count="1">
    <tableColumn name="Column1" id="1"/>
  </tableColumns>
  <tableStyleInfo name="Analise qualitativa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2:A47" displayName="Table_5" name="Table_5" id="5">
  <tableColumns count="1">
    <tableColumn name="Column1" id="1"/>
  </tableColumns>
  <tableStyleInfo name="Analise qualitativa-style 5" showColumnStripes="0" showFirstColumn="1" showLastColumn="1" showRowStripes="1"/>
</table>
</file>

<file path=xl/tables/table6.xml><?xml version="1.0" encoding="utf-8"?>
<table xmlns="http://schemas.openxmlformats.org/spreadsheetml/2006/main" headerRowCount="0" ref="A51:A57" displayName="Table_6" name="Table_6" id="6">
  <tableColumns count="1">
    <tableColumn name="Column1" id="1"/>
  </tableColumns>
  <tableStyleInfo name="Analise qualitativa-style 6" showColumnStripes="0" showFirstColumn="1" showLastColumn="1" showRowStripes="1"/>
</table>
</file>

<file path=xl/tables/table7.xml><?xml version="1.0" encoding="utf-8"?>
<table xmlns="http://schemas.openxmlformats.org/spreadsheetml/2006/main" ref="A1:Y67" displayName="Form_Responses1" name="Form_Responses1" id="7">
  <autoFilter ref="$A$1:$Y$67"/>
  <tableColumns count="25">
    <tableColumn name="Carimbo de data/hora" id="1"/>
    <tableColumn name="Nome Startup / Equity" id="2"/>
    <tableColumn name="Nome do(a) Avaliador(a)" id="3"/>
    <tableColumn name="Identificação da dor, problema e solução" id="4"/>
    <tableColumn name="Modelo de Negócio é Escalável?" id="5"/>
    <tableColumn name="Tamanho do Mercado é Atrativo?" id="6"/>
    <tableColumn name=" Há evidências claras de demanda (early adopters, contratos, pré-vendas)?" id="7"/>
    <tableColumn name="A solução do modelo de negócio apresentado é inovador?" id="8"/>
    <tableColumn name=" A tecnologia desenvolvida é proprietária (propriedade intectual)?" id="9"/>
    <tableColumn name="Desenvolvimento Tecnológico" id="10"/>
    <tableColumn name="A tecnologia cumpre requisitos de segurança e regulamentação?" id="11"/>
    <tableColumn name="O modelo de negócios já foi testado no mercado e é financeiramente sustentável no longo prazo?" id="12"/>
    <tableColumn name="A startup possui múltiplos fluxos de receita e canais de distribuição eficientes e escaláveis?" id="13"/>
    <tableColumn name=" Os fundadores têm experiência relevante no setor?" id="14"/>
    <tableColumn name=" Os fundadores estão 100% dedicados à startup?  " id="15"/>
    <tableColumn name=" A startup tem uma vantagem competitiva sustentável?" id="16"/>
    <tableColumn name=" A startup está bem posicionada em relação aos concorrentes?" id="17"/>
    <tableColumn name=" A startup possui caixa suficiente para atingir seus próximos marcos?" id="18"/>
    <tableColumn name="A diluição dos fundadores é razoável?  " id="19"/>
    <tableColumn name="A startup está alinhada com os princípios ESG (ambientais, sociais e de governança) e agrega valor intangível para a sociedade ou meio ambiente?" id="20"/>
    <tableColumn name="O que a startup precisa que a IARIS pode oferecer a curto prazo?" id="21"/>
    <tableColumn name="De 0 a 10, qual a sua nota final para esta startup?" id="22"/>
    <tableColumn name="Você aprovaria essa startups em nosso Investor Day?" id="23"/>
    <tableColumn name="Comentários gerais" id="24"/>
    <tableColumn name="Em comparação com o mercado, a solução apresentada se mostra em qual grau de atratividade na sua opinião?" id="25"/>
  </tableColumns>
  <tableStyleInfo name="Respostas ao formul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finity6.ai/" TargetMode="External"/><Relationship Id="rId11" Type="http://schemas.openxmlformats.org/officeDocument/2006/relationships/hyperlink" Target="https://solusaas.com.br/" TargetMode="External"/><Relationship Id="rId10" Type="http://schemas.openxmlformats.org/officeDocument/2006/relationships/hyperlink" Target="https://catalyse.com.br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pag.finance/" TargetMode="External"/><Relationship Id="rId12" Type="http://schemas.openxmlformats.org/officeDocument/2006/relationships/hyperlink" Target="https://www.redellcreators.com.br/" TargetMode="External"/><Relationship Id="rId1" Type="http://schemas.openxmlformats.org/officeDocument/2006/relationships/hyperlink" Target="https://eudissevocedisse.com/" TargetMode="External"/><Relationship Id="rId2" Type="http://schemas.openxmlformats.org/officeDocument/2006/relationships/hyperlink" Target="https://www.instagram.com/financiasaude/" TargetMode="External"/><Relationship Id="rId3" Type="http://schemas.openxmlformats.org/officeDocument/2006/relationships/hyperlink" Target="https://www.bidhero.com.br/" TargetMode="External"/><Relationship Id="rId4" Type="http://schemas.openxmlformats.org/officeDocument/2006/relationships/hyperlink" Target="https://www.paypassbr.com/" TargetMode="External"/><Relationship Id="rId9" Type="http://schemas.openxmlformats.org/officeDocument/2006/relationships/hyperlink" Target="https://www.balcon.com.br/" TargetMode="External"/><Relationship Id="rId15" Type="http://schemas.openxmlformats.org/officeDocument/2006/relationships/hyperlink" Target="https://www.agendor.com.br/solucoes/ava" TargetMode="External"/><Relationship Id="rId14" Type="http://schemas.openxmlformats.org/officeDocument/2006/relationships/hyperlink" Target="https://www.seuativo.com.br/" TargetMode="External"/><Relationship Id="rId17" Type="http://schemas.openxmlformats.org/officeDocument/2006/relationships/hyperlink" Target="https://www.super.adv.br/" TargetMode="External"/><Relationship Id="rId16" Type="http://schemas.openxmlformats.org/officeDocument/2006/relationships/hyperlink" Target="https://emergency.com.br/" TargetMode="External"/><Relationship Id="rId5" Type="http://schemas.openxmlformats.org/officeDocument/2006/relationships/hyperlink" Target="https://eigi.com.br/apresentacao" TargetMode="External"/><Relationship Id="rId19" Type="http://schemas.openxmlformats.org/officeDocument/2006/relationships/hyperlink" Target="https://www.expedit.com.br/" TargetMode="External"/><Relationship Id="rId6" Type="http://schemas.openxmlformats.org/officeDocument/2006/relationships/hyperlink" Target="https://vemseragil.com.br/" TargetMode="External"/><Relationship Id="rId18" Type="http://schemas.openxmlformats.org/officeDocument/2006/relationships/hyperlink" Target="https://gennio.io/pt-BR" TargetMode="External"/><Relationship Id="rId7" Type="http://schemas.openxmlformats.org/officeDocument/2006/relationships/hyperlink" Target="http://exordial.ai/" TargetMode="External"/><Relationship Id="rId8" Type="http://schemas.openxmlformats.org/officeDocument/2006/relationships/hyperlink" Target="https://exordial.ai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exordial.ai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uris.i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uris.i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pivotTable" Target="../pivotTables/pivotTable20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21" Type="http://schemas.openxmlformats.org/officeDocument/2006/relationships/drawing" Target="../drawings/drawing7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5" Type="http://schemas.openxmlformats.org/officeDocument/2006/relationships/pivotTable" Target="../pivotTables/pivotTable5.xml"/><Relationship Id="rId19" Type="http://schemas.openxmlformats.org/officeDocument/2006/relationships/pivotTable" Target="../pivotTables/pivotTable19.xml"/><Relationship Id="rId6" Type="http://schemas.openxmlformats.org/officeDocument/2006/relationships/pivotTable" Target="../pivotTables/pivotTable6.xml"/><Relationship Id="rId18" Type="http://schemas.openxmlformats.org/officeDocument/2006/relationships/pivotTable" Target="../pivotTables/pivotTable18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" Type="http://schemas.openxmlformats.org/officeDocument/2006/relationships/drawing" Target="../drawings/drawing9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5"/>
    <col customWidth="1" min="4" max="4" width="23.0"/>
    <col customWidth="1" min="5" max="5" width="3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0.375</v>
      </c>
      <c r="B2" s="4">
        <v>0.003472222222222222</v>
      </c>
      <c r="C2" s="5" t="s">
        <v>5</v>
      </c>
      <c r="D2" s="5" t="s">
        <v>6</v>
      </c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f t="shared" ref="A3:A23" si="1">A2+B2</f>
        <v>0.3784722222</v>
      </c>
      <c r="B3" s="4">
        <v>0.003472222222222222</v>
      </c>
      <c r="C3" s="5" t="s">
        <v>8</v>
      </c>
      <c r="D3" s="5" t="s">
        <v>9</v>
      </c>
      <c r="E3" s="6" t="s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>
        <f t="shared" si="1"/>
        <v>0.3819444444</v>
      </c>
      <c r="B4" s="7">
        <v>0.005555555555555556</v>
      </c>
      <c r="C4" s="8" t="s">
        <v>11</v>
      </c>
      <c r="D4" s="8" t="s">
        <v>12</v>
      </c>
      <c r="E4" s="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>
        <f t="shared" si="1"/>
        <v>0.3875</v>
      </c>
      <c r="B5" s="7">
        <v>0.006944444444444444</v>
      </c>
      <c r="C5" s="8" t="s">
        <v>13</v>
      </c>
      <c r="D5" s="8" t="s">
        <v>14</v>
      </c>
      <c r="E5" s="9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>
        <f t="shared" si="1"/>
        <v>0.3944444444</v>
      </c>
      <c r="B6" s="7">
        <v>0.001388888888888889</v>
      </c>
      <c r="C6" s="8" t="s">
        <v>15</v>
      </c>
      <c r="D6" s="8" t="s">
        <v>16</v>
      </c>
      <c r="E6" s="8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0">
        <f t="shared" si="1"/>
        <v>0.3958333333</v>
      </c>
      <c r="B7" s="10">
        <v>0.005555555555555556</v>
      </c>
      <c r="C7" s="11" t="s">
        <v>18</v>
      </c>
      <c r="D7" s="11" t="s">
        <v>12</v>
      </c>
      <c r="E7" s="1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0">
        <f t="shared" si="1"/>
        <v>0.4013888889</v>
      </c>
      <c r="B8" s="10">
        <v>0.006944444444444444</v>
      </c>
      <c r="C8" s="11" t="s">
        <v>13</v>
      </c>
      <c r="D8" s="11" t="s">
        <v>14</v>
      </c>
      <c r="E8" s="12" t="s">
        <v>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0">
        <f t="shared" si="1"/>
        <v>0.4083333333</v>
      </c>
      <c r="B9" s="10">
        <v>0.001388888888888889</v>
      </c>
      <c r="C9" s="11" t="s">
        <v>15</v>
      </c>
      <c r="D9" s="11" t="s">
        <v>16</v>
      </c>
      <c r="E9" s="11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3">
        <f t="shared" si="1"/>
        <v>0.4097222222</v>
      </c>
      <c r="B10" s="13">
        <v>0.005555555555555556</v>
      </c>
      <c r="C10" s="14" t="s">
        <v>19</v>
      </c>
      <c r="D10" s="14" t="s">
        <v>12</v>
      </c>
      <c r="E10" s="1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3">
        <f t="shared" si="1"/>
        <v>0.4152777778</v>
      </c>
      <c r="B11" s="13">
        <v>0.006944444444444444</v>
      </c>
      <c r="C11" s="14" t="s">
        <v>13</v>
      </c>
      <c r="D11" s="14" t="s">
        <v>14</v>
      </c>
      <c r="E11" s="15" t="s">
        <v>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3">
        <f t="shared" si="1"/>
        <v>0.4222222222</v>
      </c>
      <c r="B12" s="13">
        <v>0.001388888888888889</v>
      </c>
      <c r="C12" s="14" t="s">
        <v>15</v>
      </c>
      <c r="D12" s="14" t="s">
        <v>16</v>
      </c>
      <c r="E12" s="14" t="s">
        <v>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>
        <f t="shared" si="1"/>
        <v>0.4236111111</v>
      </c>
      <c r="B13" s="4">
        <v>0.003472222222222222</v>
      </c>
      <c r="C13" s="5" t="s">
        <v>20</v>
      </c>
      <c r="D13" s="5" t="s">
        <v>21</v>
      </c>
      <c r="E13" s="6" t="s">
        <v>10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6">
        <f t="shared" si="1"/>
        <v>0.4270833333</v>
      </c>
      <c r="B14" s="16">
        <v>0.005555555555555556</v>
      </c>
      <c r="C14" s="17" t="s">
        <v>22</v>
      </c>
      <c r="D14" s="17" t="s">
        <v>12</v>
      </c>
      <c r="E14" s="1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6">
        <f t="shared" si="1"/>
        <v>0.4326388889</v>
      </c>
      <c r="B15" s="16">
        <v>0.006944444444444444</v>
      </c>
      <c r="C15" s="17" t="s">
        <v>13</v>
      </c>
      <c r="D15" s="17" t="s">
        <v>14</v>
      </c>
      <c r="E15" s="18" t="s">
        <v>10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6">
        <f t="shared" si="1"/>
        <v>0.4395833333</v>
      </c>
      <c r="B16" s="16">
        <v>0.001388888888888889</v>
      </c>
      <c r="C16" s="17" t="s">
        <v>15</v>
      </c>
      <c r="D16" s="17" t="s">
        <v>16</v>
      </c>
      <c r="E16" s="17" t="s">
        <v>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9">
        <f t="shared" si="1"/>
        <v>0.4409722222</v>
      </c>
      <c r="B17" s="19">
        <v>0.005555555555555556</v>
      </c>
      <c r="C17" s="20" t="s">
        <v>23</v>
      </c>
      <c r="D17" s="20" t="s">
        <v>12</v>
      </c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9">
        <f t="shared" si="1"/>
        <v>0.4465277778</v>
      </c>
      <c r="B18" s="19">
        <v>0.006944444444444444</v>
      </c>
      <c r="C18" s="20" t="s">
        <v>13</v>
      </c>
      <c r="D18" s="20" t="s">
        <v>14</v>
      </c>
      <c r="E18" s="22" t="s">
        <v>10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9">
        <f t="shared" si="1"/>
        <v>0.4534722222</v>
      </c>
      <c r="B19" s="19">
        <v>0.001388888888888889</v>
      </c>
      <c r="C19" s="20" t="s">
        <v>15</v>
      </c>
      <c r="D19" s="20" t="s">
        <v>16</v>
      </c>
      <c r="E19" s="20" t="s">
        <v>17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3">
        <f t="shared" si="1"/>
        <v>0.4548611111</v>
      </c>
      <c r="B20" s="23">
        <v>0.005555555555555556</v>
      </c>
      <c r="C20" s="24" t="s">
        <v>24</v>
      </c>
      <c r="D20" s="24" t="s">
        <v>12</v>
      </c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3">
        <f t="shared" si="1"/>
        <v>0.4604166667</v>
      </c>
      <c r="B21" s="23">
        <v>0.006944444444444444</v>
      </c>
      <c r="C21" s="24" t="s">
        <v>13</v>
      </c>
      <c r="D21" s="24" t="s">
        <v>14</v>
      </c>
      <c r="E21" s="25" t="s">
        <v>10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3">
        <f t="shared" si="1"/>
        <v>0.4673611111</v>
      </c>
      <c r="B22" s="23">
        <v>0.001388888888888889</v>
      </c>
      <c r="C22" s="24" t="s">
        <v>15</v>
      </c>
      <c r="D22" s="24" t="s">
        <v>16</v>
      </c>
      <c r="E22" s="24" t="s">
        <v>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>
        <f t="shared" si="1"/>
        <v>0.46875</v>
      </c>
      <c r="B23" s="4">
        <v>0.001388888888888889</v>
      </c>
      <c r="C23" s="5" t="s">
        <v>25</v>
      </c>
      <c r="D23" s="5"/>
      <c r="E23" s="6" t="s">
        <v>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64.75"/>
    <col customWidth="1" min="3" max="3" width="49.25"/>
    <col customWidth="1" min="4" max="4" width="25.25"/>
    <col customWidth="1" min="5" max="5" width="32.13"/>
    <col customWidth="1" min="6" max="6" width="12.38"/>
    <col customWidth="1" min="7" max="7" width="22.88"/>
    <col customWidth="1" min="8" max="8" width="19.0"/>
    <col customWidth="1" hidden="1" min="9" max="9" width="76.63"/>
    <col customWidth="1" min="10" max="10" width="30.38"/>
    <col customWidth="1" min="11" max="12" width="14.63"/>
    <col customWidth="1" min="13" max="13" width="34.75"/>
    <col customWidth="1" min="14" max="14" width="59.13"/>
    <col customWidth="1" min="15" max="15" width="65.88"/>
    <col customWidth="1" min="16" max="16" width="14.5"/>
    <col customWidth="1" min="17" max="31" width="14.75"/>
  </cols>
  <sheetData>
    <row r="1">
      <c r="A1" s="26" t="s">
        <v>26</v>
      </c>
      <c r="B1" s="27" t="s">
        <v>27</v>
      </c>
      <c r="C1" s="26" t="s">
        <v>28</v>
      </c>
      <c r="D1" s="26" t="s">
        <v>29</v>
      </c>
      <c r="E1" s="26" t="s">
        <v>30</v>
      </c>
      <c r="F1" s="26" t="s">
        <v>31</v>
      </c>
      <c r="G1" s="26" t="s">
        <v>32</v>
      </c>
      <c r="H1" s="26" t="s">
        <v>33</v>
      </c>
      <c r="I1" s="28" t="s">
        <v>34</v>
      </c>
      <c r="J1" s="26" t="s">
        <v>35</v>
      </c>
      <c r="K1" s="26" t="s">
        <v>36</v>
      </c>
      <c r="L1" s="26" t="s">
        <v>37</v>
      </c>
      <c r="M1" s="26" t="s">
        <v>38</v>
      </c>
      <c r="N1" s="26" t="s">
        <v>39</v>
      </c>
      <c r="O1" s="26" t="s">
        <v>40</v>
      </c>
      <c r="P1" s="26" t="s">
        <v>41</v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>
      <c r="A2" s="30" t="s">
        <v>42</v>
      </c>
      <c r="B2" s="31" t="s">
        <v>43</v>
      </c>
      <c r="C2" s="32" t="s">
        <v>44</v>
      </c>
      <c r="D2" s="31" t="s">
        <v>45</v>
      </c>
      <c r="E2" s="33" t="s">
        <v>46</v>
      </c>
      <c r="F2" s="29"/>
      <c r="G2" s="31" t="s">
        <v>47</v>
      </c>
      <c r="H2" s="29"/>
      <c r="I2" s="34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>
      <c r="A3" s="30" t="s">
        <v>48</v>
      </c>
      <c r="B3" s="35" t="s">
        <v>49</v>
      </c>
      <c r="C3" s="32" t="s">
        <v>50</v>
      </c>
      <c r="D3" s="31" t="s">
        <v>45</v>
      </c>
      <c r="E3" s="33" t="s">
        <v>51</v>
      </c>
      <c r="F3" s="29"/>
      <c r="G3" s="31" t="s">
        <v>52</v>
      </c>
      <c r="H3" s="36" t="s">
        <v>53</v>
      </c>
      <c r="I3" s="34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>
      <c r="A4" s="30" t="s">
        <v>54</v>
      </c>
      <c r="B4" s="35" t="s">
        <v>55</v>
      </c>
      <c r="C4" s="32" t="s">
        <v>56</v>
      </c>
      <c r="D4" s="31" t="s">
        <v>45</v>
      </c>
      <c r="E4" s="33" t="s">
        <v>57</v>
      </c>
      <c r="F4" s="29"/>
      <c r="G4" s="31" t="s">
        <v>52</v>
      </c>
      <c r="H4" s="31"/>
      <c r="I4" s="34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>
      <c r="A5" s="31" t="s">
        <v>58</v>
      </c>
      <c r="B5" s="35" t="s">
        <v>59</v>
      </c>
      <c r="C5" s="32" t="s">
        <v>60</v>
      </c>
      <c r="D5" s="31" t="s">
        <v>45</v>
      </c>
      <c r="E5" s="33" t="s">
        <v>61</v>
      </c>
      <c r="F5" s="29"/>
      <c r="G5" s="31" t="s">
        <v>52</v>
      </c>
      <c r="H5" s="31" t="s">
        <v>62</v>
      </c>
      <c r="I5" s="34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>
      <c r="A6" s="31" t="s">
        <v>63</v>
      </c>
      <c r="B6" s="31" t="s">
        <v>64</v>
      </c>
      <c r="C6" s="32" t="s">
        <v>65</v>
      </c>
      <c r="D6" s="31" t="s">
        <v>45</v>
      </c>
      <c r="E6" s="33" t="s">
        <v>66</v>
      </c>
      <c r="F6" s="29"/>
      <c r="G6" s="31" t="s">
        <v>67</v>
      </c>
      <c r="H6" s="36" t="s">
        <v>53</v>
      </c>
      <c r="I6" s="34"/>
      <c r="J6" s="29"/>
      <c r="K6" s="29"/>
      <c r="L6" s="29"/>
      <c r="M6" s="29"/>
      <c r="N6" s="29"/>
      <c r="O6" s="31" t="s">
        <v>68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>
      <c r="A7" s="31" t="s">
        <v>69</v>
      </c>
      <c r="B7" s="31" t="s">
        <v>70</v>
      </c>
      <c r="C7" s="32" t="s">
        <v>71</v>
      </c>
      <c r="D7" s="31" t="s">
        <v>45</v>
      </c>
      <c r="E7" s="33" t="s">
        <v>72</v>
      </c>
      <c r="F7" s="29"/>
      <c r="G7" s="31" t="s">
        <v>47</v>
      </c>
      <c r="H7" s="29"/>
      <c r="I7" s="34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33" t="s">
        <v>73</v>
      </c>
      <c r="B8" s="35" t="s">
        <v>74</v>
      </c>
      <c r="C8" s="32" t="s">
        <v>75</v>
      </c>
      <c r="D8" s="31" t="s">
        <v>45</v>
      </c>
      <c r="E8" s="33" t="s">
        <v>76</v>
      </c>
      <c r="F8" s="29"/>
      <c r="G8" s="31" t="s">
        <v>47</v>
      </c>
      <c r="H8" s="36" t="s">
        <v>53</v>
      </c>
      <c r="I8" s="34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31" t="s">
        <v>77</v>
      </c>
      <c r="B9" s="31" t="s">
        <v>78</v>
      </c>
      <c r="C9" s="32" t="s">
        <v>79</v>
      </c>
      <c r="D9" s="31" t="s">
        <v>45</v>
      </c>
      <c r="E9" s="33" t="s">
        <v>80</v>
      </c>
      <c r="F9" s="29"/>
      <c r="G9" s="31" t="s">
        <v>47</v>
      </c>
      <c r="H9" s="29"/>
      <c r="I9" s="34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>
      <c r="A10" s="31" t="s">
        <v>81</v>
      </c>
      <c r="B10" s="35" t="s">
        <v>82</v>
      </c>
      <c r="C10" s="32" t="s">
        <v>83</v>
      </c>
      <c r="D10" s="31" t="s">
        <v>45</v>
      </c>
      <c r="E10" s="33" t="s">
        <v>84</v>
      </c>
      <c r="F10" s="29"/>
      <c r="G10" s="31"/>
      <c r="H10" s="36"/>
      <c r="I10" s="34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>
      <c r="A11" s="31" t="s">
        <v>85</v>
      </c>
      <c r="B11" s="35" t="s">
        <v>86</v>
      </c>
      <c r="C11" s="32" t="s">
        <v>87</v>
      </c>
      <c r="D11" s="31" t="s">
        <v>45</v>
      </c>
      <c r="E11" s="31" t="s">
        <v>88</v>
      </c>
      <c r="F11" s="29"/>
      <c r="G11" s="31" t="s">
        <v>67</v>
      </c>
      <c r="H11" s="31" t="s">
        <v>62</v>
      </c>
      <c r="I11" s="34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>
      <c r="A12" s="31" t="s">
        <v>89</v>
      </c>
      <c r="B12" s="35" t="s">
        <v>90</v>
      </c>
      <c r="C12" s="32" t="s">
        <v>91</v>
      </c>
      <c r="D12" s="31" t="s">
        <v>45</v>
      </c>
      <c r="E12" s="33" t="s">
        <v>92</v>
      </c>
      <c r="F12" s="29"/>
      <c r="G12" s="31" t="s">
        <v>67</v>
      </c>
      <c r="H12" s="36" t="s">
        <v>53</v>
      </c>
      <c r="I12" s="34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>
      <c r="A13" s="31" t="s">
        <v>93</v>
      </c>
      <c r="B13" s="35" t="s">
        <v>94</v>
      </c>
      <c r="C13" s="32" t="s">
        <v>95</v>
      </c>
      <c r="D13" s="31" t="s">
        <v>96</v>
      </c>
      <c r="E13" s="33" t="s">
        <v>97</v>
      </c>
      <c r="F13" s="29"/>
      <c r="G13" s="31" t="s">
        <v>98</v>
      </c>
      <c r="H13" s="31" t="s">
        <v>62</v>
      </c>
      <c r="I13" s="34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>
      <c r="A14" s="31" t="s">
        <v>99</v>
      </c>
      <c r="B14" s="35" t="s">
        <v>100</v>
      </c>
      <c r="C14" s="32" t="s">
        <v>101</v>
      </c>
      <c r="D14" s="31" t="s">
        <v>102</v>
      </c>
      <c r="E14" s="33" t="s">
        <v>103</v>
      </c>
      <c r="F14" s="29"/>
      <c r="G14" s="31" t="s">
        <v>52</v>
      </c>
      <c r="H14" s="36" t="s">
        <v>53</v>
      </c>
      <c r="I14" s="34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>
      <c r="A15" s="37" t="s">
        <v>104</v>
      </c>
      <c r="B15" s="35" t="s">
        <v>105</v>
      </c>
      <c r="C15" s="31" t="s">
        <v>106</v>
      </c>
      <c r="D15" s="31" t="s">
        <v>102</v>
      </c>
      <c r="E15" s="33" t="s">
        <v>107</v>
      </c>
      <c r="F15" s="38"/>
      <c r="G15" s="31" t="s">
        <v>52</v>
      </c>
      <c r="H15" s="31" t="s">
        <v>62</v>
      </c>
      <c r="I15" s="39" t="s">
        <v>108</v>
      </c>
      <c r="J15" s="31"/>
      <c r="K15" s="40"/>
      <c r="L15" s="31"/>
      <c r="M15" s="31"/>
      <c r="N15" s="31"/>
      <c r="O15" s="41"/>
      <c r="P15" s="42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>
      <c r="A16" s="31" t="s">
        <v>109</v>
      </c>
      <c r="B16" s="31" t="s">
        <v>110</v>
      </c>
      <c r="C16" s="31" t="s">
        <v>111</v>
      </c>
      <c r="D16" s="31" t="s">
        <v>112</v>
      </c>
      <c r="E16" s="29"/>
      <c r="F16" s="29"/>
      <c r="G16" s="31" t="s">
        <v>47</v>
      </c>
      <c r="H16" s="29"/>
      <c r="I16" s="34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>
      <c r="A17" s="31" t="s">
        <v>113</v>
      </c>
      <c r="B17" s="31" t="s">
        <v>114</v>
      </c>
      <c r="C17" s="31" t="s">
        <v>115</v>
      </c>
      <c r="D17" s="31" t="s">
        <v>112</v>
      </c>
      <c r="E17" s="29"/>
      <c r="F17" s="29"/>
      <c r="G17" s="31" t="s">
        <v>47</v>
      </c>
      <c r="H17" s="29"/>
      <c r="I17" s="34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>
      <c r="A18" s="31" t="s">
        <v>116</v>
      </c>
      <c r="B18" s="35" t="s">
        <v>117</v>
      </c>
      <c r="C18" s="31" t="s">
        <v>118</v>
      </c>
      <c r="D18" s="31" t="s">
        <v>119</v>
      </c>
      <c r="E18" s="33" t="s">
        <v>120</v>
      </c>
      <c r="F18" s="29"/>
      <c r="G18" s="31" t="s">
        <v>67</v>
      </c>
      <c r="H18" s="36" t="s">
        <v>53</v>
      </c>
      <c r="I18" s="34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>
      <c r="A19" s="31" t="s">
        <v>121</v>
      </c>
      <c r="B19" s="31" t="s">
        <v>122</v>
      </c>
      <c r="C19" s="31" t="s">
        <v>123</v>
      </c>
      <c r="D19" s="31" t="s">
        <v>119</v>
      </c>
      <c r="E19" s="33" t="s">
        <v>124</v>
      </c>
      <c r="F19" s="29"/>
      <c r="G19" s="31" t="s">
        <v>47</v>
      </c>
      <c r="H19" s="29"/>
      <c r="I19" s="34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>
      <c r="A20" s="31" t="s">
        <v>125</v>
      </c>
      <c r="B20" s="35" t="s">
        <v>126</v>
      </c>
      <c r="C20" s="31"/>
      <c r="D20" s="31" t="s">
        <v>119</v>
      </c>
      <c r="E20" s="33" t="s">
        <v>127</v>
      </c>
      <c r="F20" s="29"/>
      <c r="G20" s="31" t="s">
        <v>47</v>
      </c>
      <c r="H20" s="31" t="s">
        <v>62</v>
      </c>
      <c r="I20" s="34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>
      <c r="A21" s="31" t="s">
        <v>128</v>
      </c>
      <c r="B21" s="35" t="s">
        <v>129</v>
      </c>
      <c r="C21" s="31"/>
      <c r="D21" s="31" t="s">
        <v>119</v>
      </c>
      <c r="E21" s="31" t="s">
        <v>88</v>
      </c>
      <c r="F21" s="29"/>
      <c r="G21" s="31" t="s">
        <v>67</v>
      </c>
      <c r="H21" s="31" t="s">
        <v>62</v>
      </c>
      <c r="I21" s="34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31" t="s">
        <v>130</v>
      </c>
      <c r="B22" s="35" t="s">
        <v>131</v>
      </c>
      <c r="C22" s="29"/>
      <c r="D22" s="31" t="s">
        <v>119</v>
      </c>
      <c r="E22" s="29"/>
      <c r="F22" s="29"/>
      <c r="G22" s="31" t="s">
        <v>52</v>
      </c>
      <c r="H22" s="31" t="s">
        <v>62</v>
      </c>
      <c r="I22" s="34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>
      <c r="A23" s="31" t="s">
        <v>132</v>
      </c>
      <c r="B23" s="35" t="s">
        <v>105</v>
      </c>
      <c r="C23" s="31" t="s">
        <v>133</v>
      </c>
      <c r="D23" s="31" t="s">
        <v>119</v>
      </c>
      <c r="E23" s="33" t="s">
        <v>134</v>
      </c>
      <c r="F23" s="43"/>
      <c r="G23" s="31" t="s">
        <v>47</v>
      </c>
      <c r="H23" s="31"/>
      <c r="I23" s="39" t="s">
        <v>135</v>
      </c>
      <c r="J23" s="41"/>
      <c r="K23" s="44"/>
      <c r="L23" s="41"/>
      <c r="M23" s="41"/>
      <c r="N23" s="45"/>
      <c r="O23" s="45"/>
      <c r="P23" s="46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>
      <c r="A24" s="47" t="s">
        <v>136</v>
      </c>
      <c r="B24" s="35" t="s">
        <v>105</v>
      </c>
      <c r="C24" s="31" t="s">
        <v>133</v>
      </c>
      <c r="D24" s="31" t="s">
        <v>112</v>
      </c>
      <c r="E24" s="48" t="s">
        <v>137</v>
      </c>
      <c r="F24" s="49"/>
      <c r="G24" s="50" t="s">
        <v>47</v>
      </c>
      <c r="H24" s="50" t="s">
        <v>53</v>
      </c>
      <c r="I24" s="51" t="s">
        <v>138</v>
      </c>
      <c r="J24" s="50"/>
      <c r="K24" s="52"/>
      <c r="L24" s="50"/>
      <c r="M24" s="50"/>
      <c r="N24" s="53"/>
      <c r="O24" s="53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</row>
    <row r="25">
      <c r="A25" s="56" t="s">
        <v>139</v>
      </c>
      <c r="B25" s="35" t="s">
        <v>105</v>
      </c>
      <c r="C25" s="31" t="s">
        <v>133</v>
      </c>
      <c r="D25" s="31" t="s">
        <v>112</v>
      </c>
      <c r="E25" s="33" t="s">
        <v>140</v>
      </c>
      <c r="F25" s="29"/>
      <c r="G25" s="31" t="s">
        <v>67</v>
      </c>
      <c r="H25" s="31"/>
      <c r="I25" s="39" t="s">
        <v>141</v>
      </c>
      <c r="J25" s="31"/>
      <c r="K25" s="31"/>
      <c r="L25" s="31"/>
      <c r="M25" s="31"/>
      <c r="N25" s="31"/>
      <c r="O25" s="31"/>
      <c r="P25" s="3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>
      <c r="A26" s="47" t="s">
        <v>142</v>
      </c>
      <c r="B26" s="35" t="s">
        <v>105</v>
      </c>
      <c r="C26" s="31" t="s">
        <v>133</v>
      </c>
      <c r="D26" s="31" t="s">
        <v>112</v>
      </c>
      <c r="E26" s="38"/>
      <c r="F26" s="38"/>
      <c r="G26" s="31" t="s">
        <v>98</v>
      </c>
      <c r="H26" s="36" t="s">
        <v>53</v>
      </c>
      <c r="I26" s="39" t="s">
        <v>143</v>
      </c>
      <c r="K26" s="40"/>
      <c r="L26" s="31"/>
      <c r="M26" s="31"/>
      <c r="N26" s="31"/>
      <c r="O26" s="31" t="s">
        <v>144</v>
      </c>
      <c r="P26" s="42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>
      <c r="A27" s="29"/>
      <c r="B27" s="29"/>
      <c r="C27" s="29"/>
      <c r="D27" s="29"/>
      <c r="E27" s="29"/>
      <c r="F27" s="29"/>
      <c r="G27" s="29"/>
      <c r="H27" s="29"/>
      <c r="I27" s="34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>
      <c r="A28" s="29"/>
      <c r="B28" s="29"/>
      <c r="C28" s="29"/>
      <c r="D28" s="29"/>
      <c r="E28" s="29"/>
      <c r="F28" s="29"/>
      <c r="G28" s="29"/>
      <c r="H28" s="29"/>
      <c r="I28" s="34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>
      <c r="A29" s="29"/>
      <c r="B29" s="29"/>
      <c r="C29" s="29"/>
      <c r="D29" s="29"/>
      <c r="E29" s="29"/>
      <c r="F29" s="29"/>
      <c r="G29" s="29"/>
      <c r="H29" s="29"/>
      <c r="I29" s="34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>
      <c r="A30" s="29"/>
      <c r="B30" s="29"/>
      <c r="C30" s="29"/>
      <c r="D30" s="29"/>
      <c r="E30" s="29"/>
      <c r="F30" s="29"/>
      <c r="G30" s="29"/>
      <c r="H30" s="29"/>
      <c r="I30" s="34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>
      <c r="A31" s="29"/>
      <c r="B31" s="29"/>
      <c r="C31" s="29"/>
      <c r="D31" s="29"/>
      <c r="E31" s="29"/>
      <c r="F31" s="29"/>
      <c r="G31" s="29"/>
      <c r="H31" s="29"/>
      <c r="I31" s="34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>
      <c r="A32" s="29"/>
      <c r="B32" s="29"/>
      <c r="C32" s="29"/>
      <c r="D32" s="29"/>
      <c r="E32" s="29"/>
      <c r="F32" s="29"/>
      <c r="G32" s="29"/>
      <c r="H32" s="29"/>
      <c r="I32" s="34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>
      <c r="A33" s="29"/>
      <c r="B33" s="29"/>
      <c r="C33" s="29"/>
      <c r="D33" s="29"/>
      <c r="E33" s="29"/>
      <c r="F33" s="29"/>
      <c r="G33" s="29"/>
      <c r="H33" s="29"/>
      <c r="I33" s="34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>
      <c r="A34" s="29"/>
      <c r="B34" s="29"/>
      <c r="C34" s="29"/>
      <c r="D34" s="29"/>
      <c r="E34" s="29"/>
      <c r="F34" s="29"/>
      <c r="G34" s="29"/>
      <c r="H34" s="29"/>
      <c r="I34" s="34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>
      <c r="A35" s="29"/>
      <c r="B35" s="29"/>
      <c r="C35" s="29"/>
      <c r="D35" s="29"/>
      <c r="E35" s="29"/>
      <c r="F35" s="29"/>
      <c r="G35" s="29"/>
      <c r="H35" s="29"/>
      <c r="I35" s="34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>
      <c r="A36" s="29"/>
      <c r="B36" s="29"/>
      <c r="C36" s="29"/>
      <c r="D36" s="29"/>
      <c r="E36" s="29"/>
      <c r="F36" s="29"/>
      <c r="G36" s="29"/>
      <c r="H36" s="29"/>
      <c r="I36" s="34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>
      <c r="A37" s="29"/>
      <c r="B37" s="29"/>
      <c r="C37" s="29"/>
      <c r="D37" s="29"/>
      <c r="E37" s="29"/>
      <c r="F37" s="29"/>
      <c r="G37" s="29"/>
      <c r="H37" s="29"/>
      <c r="I37" s="34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>
      <c r="A38" s="29"/>
      <c r="B38" s="29"/>
      <c r="C38" s="29"/>
      <c r="D38" s="29"/>
      <c r="E38" s="29"/>
      <c r="F38" s="29"/>
      <c r="G38" s="29"/>
      <c r="H38" s="29"/>
      <c r="I38" s="34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>
      <c r="A39" s="29"/>
      <c r="B39" s="29"/>
      <c r="C39" s="29"/>
      <c r="D39" s="29"/>
      <c r="E39" s="29"/>
      <c r="F39" s="29"/>
      <c r="G39" s="29"/>
      <c r="H39" s="29"/>
      <c r="I39" s="34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>
      <c r="A40" s="29"/>
      <c r="B40" s="29"/>
      <c r="C40" s="29"/>
      <c r="D40" s="29"/>
      <c r="E40" s="29"/>
      <c r="F40" s="29"/>
      <c r="G40" s="29"/>
      <c r="H40" s="29"/>
      <c r="I40" s="34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>
      <c r="A41" s="29"/>
      <c r="B41" s="29"/>
      <c r="C41" s="29"/>
      <c r="D41" s="29"/>
      <c r="E41" s="29"/>
      <c r="F41" s="29"/>
      <c r="G41" s="29"/>
      <c r="H41" s="29"/>
      <c r="I41" s="34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>
      <c r="A42" s="29"/>
      <c r="B42" s="29"/>
      <c r="C42" s="29"/>
      <c r="D42" s="29"/>
      <c r="E42" s="29"/>
      <c r="F42" s="29"/>
      <c r="G42" s="29"/>
      <c r="H42" s="29"/>
      <c r="I42" s="34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>
      <c r="A43" s="29"/>
      <c r="B43" s="29"/>
      <c r="C43" s="29"/>
      <c r="D43" s="29"/>
      <c r="E43" s="29"/>
      <c r="F43" s="29"/>
      <c r="G43" s="29"/>
      <c r="H43" s="29"/>
      <c r="I43" s="34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>
      <c r="A44" s="29"/>
      <c r="B44" s="29"/>
      <c r="C44" s="29"/>
      <c r="D44" s="29"/>
      <c r="E44" s="29"/>
      <c r="F44" s="29"/>
      <c r="G44" s="29"/>
      <c r="H44" s="29"/>
      <c r="I44" s="34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>
      <c r="A45" s="29"/>
      <c r="B45" s="29"/>
      <c r="C45" s="29"/>
      <c r="D45" s="29"/>
      <c r="E45" s="29"/>
      <c r="F45" s="29"/>
      <c r="G45" s="29"/>
      <c r="H45" s="29"/>
      <c r="I45" s="34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>
      <c r="A46" s="29"/>
      <c r="B46" s="29"/>
      <c r="C46" s="29"/>
      <c r="D46" s="29"/>
      <c r="E46" s="29"/>
      <c r="F46" s="29"/>
      <c r="G46" s="29"/>
      <c r="H46" s="29"/>
      <c r="I46" s="34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>
      <c r="A47" s="29"/>
      <c r="B47" s="29"/>
      <c r="C47" s="29"/>
      <c r="D47" s="29"/>
      <c r="E47" s="29"/>
      <c r="F47" s="29"/>
      <c r="G47" s="29"/>
      <c r="H47" s="29"/>
      <c r="I47" s="34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>
      <c r="A48" s="29"/>
      <c r="B48" s="29"/>
      <c r="C48" s="29"/>
      <c r="D48" s="29"/>
      <c r="E48" s="29"/>
      <c r="F48" s="29"/>
      <c r="G48" s="29"/>
      <c r="H48" s="29"/>
      <c r="I48" s="34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>
      <c r="A49" s="29"/>
      <c r="B49" s="29"/>
      <c r="C49" s="29"/>
      <c r="D49" s="29"/>
      <c r="E49" s="29"/>
      <c r="F49" s="29"/>
      <c r="G49" s="29"/>
      <c r="H49" s="29"/>
      <c r="I49" s="34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>
      <c r="A50" s="29"/>
      <c r="B50" s="29"/>
      <c r="C50" s="29"/>
      <c r="D50" s="29"/>
      <c r="E50" s="29"/>
      <c r="F50" s="29"/>
      <c r="G50" s="29"/>
      <c r="H50" s="29"/>
      <c r="I50" s="34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>
      <c r="A51" s="29"/>
      <c r="B51" s="29"/>
      <c r="C51" s="29"/>
      <c r="D51" s="29"/>
      <c r="E51" s="29"/>
      <c r="F51" s="29"/>
      <c r="G51" s="29"/>
      <c r="H51" s="29"/>
      <c r="I51" s="34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>
      <c r="A52" s="29"/>
      <c r="B52" s="29"/>
      <c r="C52" s="29"/>
      <c r="D52" s="29"/>
      <c r="E52" s="29"/>
      <c r="F52" s="29"/>
      <c r="G52" s="29"/>
      <c r="H52" s="29"/>
      <c r="I52" s="34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>
      <c r="A53" s="29"/>
      <c r="B53" s="29"/>
      <c r="C53" s="29"/>
      <c r="D53" s="29"/>
      <c r="E53" s="29"/>
      <c r="F53" s="29"/>
      <c r="G53" s="29"/>
      <c r="H53" s="29"/>
      <c r="I53" s="34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>
      <c r="A54" s="29"/>
      <c r="B54" s="29"/>
      <c r="C54" s="29"/>
      <c r="D54" s="29"/>
      <c r="E54" s="29"/>
      <c r="F54" s="29"/>
      <c r="G54" s="29"/>
      <c r="H54" s="29"/>
      <c r="I54" s="34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>
      <c r="A55" s="29"/>
      <c r="B55" s="29"/>
      <c r="C55" s="29"/>
      <c r="D55" s="29"/>
      <c r="E55" s="29"/>
      <c r="F55" s="29"/>
      <c r="G55" s="29"/>
      <c r="H55" s="29"/>
      <c r="I55" s="34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>
      <c r="A56" s="29"/>
      <c r="B56" s="29"/>
      <c r="C56" s="29"/>
      <c r="D56" s="29"/>
      <c r="E56" s="29"/>
      <c r="F56" s="29"/>
      <c r="G56" s="29"/>
      <c r="H56" s="29"/>
      <c r="I56" s="34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>
      <c r="A57" s="29"/>
      <c r="B57" s="29"/>
      <c r="C57" s="29"/>
      <c r="D57" s="29"/>
      <c r="E57" s="29"/>
      <c r="F57" s="29"/>
      <c r="G57" s="29"/>
      <c r="H57" s="29"/>
      <c r="I57" s="34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>
      <c r="A58" s="29"/>
      <c r="B58" s="29"/>
      <c r="C58" s="29"/>
      <c r="D58" s="29"/>
      <c r="E58" s="29"/>
      <c r="F58" s="29"/>
      <c r="G58" s="29"/>
      <c r="H58" s="29"/>
      <c r="I58" s="34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>
      <c r="A59" s="29"/>
      <c r="B59" s="29"/>
      <c r="C59" s="29"/>
      <c r="D59" s="29"/>
      <c r="E59" s="29"/>
      <c r="F59" s="29"/>
      <c r="G59" s="29"/>
      <c r="H59" s="29"/>
      <c r="I59" s="34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>
      <c r="A60" s="29"/>
      <c r="B60" s="29"/>
      <c r="C60" s="29"/>
      <c r="D60" s="29"/>
      <c r="E60" s="29"/>
      <c r="F60" s="29"/>
      <c r="G60" s="29"/>
      <c r="H60" s="29"/>
      <c r="I60" s="34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>
      <c r="A61" s="29"/>
      <c r="B61" s="29"/>
      <c r="C61" s="29"/>
      <c r="D61" s="29"/>
      <c r="E61" s="29"/>
      <c r="F61" s="29"/>
      <c r="G61" s="29"/>
      <c r="H61" s="29"/>
      <c r="I61" s="34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>
      <c r="A62" s="29"/>
      <c r="B62" s="29"/>
      <c r="C62" s="29"/>
      <c r="D62" s="29"/>
      <c r="E62" s="29"/>
      <c r="F62" s="29"/>
      <c r="G62" s="29"/>
      <c r="H62" s="29"/>
      <c r="I62" s="34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>
      <c r="A63" s="29"/>
      <c r="B63" s="29"/>
      <c r="C63" s="29"/>
      <c r="D63" s="29"/>
      <c r="E63" s="29"/>
      <c r="F63" s="29"/>
      <c r="G63" s="29"/>
      <c r="H63" s="29"/>
      <c r="I63" s="34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>
      <c r="A64" s="29"/>
      <c r="B64" s="29"/>
      <c r="C64" s="29"/>
      <c r="D64" s="29"/>
      <c r="E64" s="29"/>
      <c r="F64" s="29"/>
      <c r="G64" s="29"/>
      <c r="H64" s="29"/>
      <c r="I64" s="34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>
      <c r="A65" s="29"/>
      <c r="B65" s="29"/>
      <c r="C65" s="29"/>
      <c r="D65" s="29"/>
      <c r="E65" s="29"/>
      <c r="F65" s="29"/>
      <c r="G65" s="29"/>
      <c r="H65" s="29"/>
      <c r="I65" s="34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>
      <c r="A66" s="29"/>
      <c r="B66" s="29"/>
      <c r="C66" s="29"/>
      <c r="D66" s="29"/>
      <c r="E66" s="29"/>
      <c r="F66" s="29"/>
      <c r="G66" s="29"/>
      <c r="H66" s="29"/>
      <c r="I66" s="34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>
      <c r="A67" s="29"/>
      <c r="B67" s="29"/>
      <c r="C67" s="29"/>
      <c r="D67" s="29"/>
      <c r="E67" s="29"/>
      <c r="F67" s="29"/>
      <c r="G67" s="29"/>
      <c r="H67" s="29"/>
      <c r="I67" s="34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>
      <c r="A68" s="29"/>
      <c r="B68" s="29"/>
      <c r="C68" s="29"/>
      <c r="D68" s="29"/>
      <c r="E68" s="29"/>
      <c r="F68" s="29"/>
      <c r="G68" s="29"/>
      <c r="H68" s="29"/>
      <c r="I68" s="34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>
      <c r="A69" s="29"/>
      <c r="B69" s="29"/>
      <c r="C69" s="29"/>
      <c r="D69" s="29"/>
      <c r="E69" s="29"/>
      <c r="F69" s="29"/>
      <c r="G69" s="29"/>
      <c r="H69" s="29"/>
      <c r="I69" s="34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>
      <c r="A70" s="29"/>
      <c r="B70" s="29"/>
      <c r="C70" s="29"/>
      <c r="D70" s="29"/>
      <c r="E70" s="29"/>
      <c r="F70" s="29"/>
      <c r="G70" s="29"/>
      <c r="H70" s="29"/>
      <c r="I70" s="34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>
      <c r="A71" s="29"/>
      <c r="B71" s="29"/>
      <c r="C71" s="29"/>
      <c r="D71" s="29"/>
      <c r="E71" s="29"/>
      <c r="F71" s="29"/>
      <c r="G71" s="29"/>
      <c r="H71" s="29"/>
      <c r="I71" s="34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>
      <c r="A72" s="29"/>
      <c r="B72" s="29"/>
      <c r="C72" s="29"/>
      <c r="D72" s="29"/>
      <c r="E72" s="29"/>
      <c r="F72" s="29"/>
      <c r="G72" s="29"/>
      <c r="H72" s="29"/>
      <c r="I72" s="34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>
      <c r="A73" s="29"/>
      <c r="B73" s="29"/>
      <c r="C73" s="29"/>
      <c r="D73" s="29"/>
      <c r="E73" s="29"/>
      <c r="F73" s="29"/>
      <c r="G73" s="29"/>
      <c r="H73" s="29"/>
      <c r="I73" s="34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>
      <c r="A74" s="29"/>
      <c r="B74" s="29"/>
      <c r="C74" s="29"/>
      <c r="D74" s="29"/>
      <c r="E74" s="29"/>
      <c r="F74" s="29"/>
      <c r="G74" s="29"/>
      <c r="H74" s="29"/>
      <c r="I74" s="34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>
      <c r="A75" s="29"/>
      <c r="B75" s="29"/>
      <c r="C75" s="29"/>
      <c r="D75" s="29"/>
      <c r="E75" s="29"/>
      <c r="F75" s="29"/>
      <c r="G75" s="29"/>
      <c r="H75" s="29"/>
      <c r="I75" s="34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>
      <c r="A76" s="29"/>
      <c r="B76" s="29"/>
      <c r="C76" s="29"/>
      <c r="D76" s="29"/>
      <c r="E76" s="29"/>
      <c r="F76" s="29"/>
      <c r="G76" s="29"/>
      <c r="H76" s="29"/>
      <c r="I76" s="34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>
      <c r="A77" s="29"/>
      <c r="B77" s="29"/>
      <c r="C77" s="29"/>
      <c r="D77" s="29"/>
      <c r="E77" s="29"/>
      <c r="F77" s="29"/>
      <c r="G77" s="29"/>
      <c r="H77" s="29"/>
      <c r="I77" s="34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>
      <c r="A78" s="29"/>
      <c r="B78" s="29"/>
      <c r="C78" s="29"/>
      <c r="D78" s="29"/>
      <c r="E78" s="29"/>
      <c r="F78" s="29"/>
      <c r="G78" s="29"/>
      <c r="H78" s="29"/>
      <c r="I78" s="34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>
      <c r="A79" s="29"/>
      <c r="B79" s="29"/>
      <c r="C79" s="29"/>
      <c r="D79" s="29"/>
      <c r="E79" s="29"/>
      <c r="F79" s="29"/>
      <c r="G79" s="29"/>
      <c r="H79" s="29"/>
      <c r="I79" s="34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>
      <c r="A80" s="29"/>
      <c r="B80" s="29"/>
      <c r="C80" s="29"/>
      <c r="D80" s="29"/>
      <c r="E80" s="29"/>
      <c r="F80" s="29"/>
      <c r="G80" s="29"/>
      <c r="H80" s="29"/>
      <c r="I80" s="34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>
      <c r="A81" s="29"/>
      <c r="B81" s="29"/>
      <c r="C81" s="29"/>
      <c r="D81" s="29"/>
      <c r="E81" s="29"/>
      <c r="F81" s="29"/>
      <c r="G81" s="29"/>
      <c r="H81" s="29"/>
      <c r="I81" s="34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>
      <c r="A82" s="29"/>
      <c r="B82" s="29"/>
      <c r="C82" s="29"/>
      <c r="D82" s="29"/>
      <c r="E82" s="29"/>
      <c r="F82" s="29"/>
      <c r="G82" s="29"/>
      <c r="H82" s="29"/>
      <c r="I82" s="34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>
      <c r="A83" s="29"/>
      <c r="B83" s="29"/>
      <c r="C83" s="29"/>
      <c r="D83" s="29"/>
      <c r="E83" s="29"/>
      <c r="F83" s="29"/>
      <c r="G83" s="29"/>
      <c r="H83" s="29"/>
      <c r="I83" s="34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>
      <c r="A84" s="29"/>
      <c r="B84" s="29"/>
      <c r="C84" s="29"/>
      <c r="D84" s="29"/>
      <c r="E84" s="29"/>
      <c r="F84" s="29"/>
      <c r="G84" s="29"/>
      <c r="H84" s="29"/>
      <c r="I84" s="34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>
      <c r="A85" s="29"/>
      <c r="B85" s="29"/>
      <c r="C85" s="29"/>
      <c r="D85" s="29"/>
      <c r="E85" s="29"/>
      <c r="F85" s="29"/>
      <c r="G85" s="29"/>
      <c r="H85" s="29"/>
      <c r="I85" s="34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>
      <c r="A86" s="29"/>
      <c r="B86" s="29"/>
      <c r="C86" s="29"/>
      <c r="D86" s="29"/>
      <c r="E86" s="29"/>
      <c r="F86" s="29"/>
      <c r="G86" s="29"/>
      <c r="H86" s="29"/>
      <c r="I86" s="34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>
      <c r="A87" s="29"/>
      <c r="B87" s="29"/>
      <c r="C87" s="29"/>
      <c r="D87" s="29"/>
      <c r="E87" s="29"/>
      <c r="F87" s="29"/>
      <c r="G87" s="29"/>
      <c r="H87" s="29"/>
      <c r="I87" s="34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>
      <c r="A88" s="29"/>
      <c r="B88" s="29"/>
      <c r="C88" s="29"/>
      <c r="D88" s="29"/>
      <c r="E88" s="29"/>
      <c r="F88" s="29"/>
      <c r="G88" s="29"/>
      <c r="H88" s="29"/>
      <c r="I88" s="34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>
      <c r="A89" s="29"/>
      <c r="B89" s="29"/>
      <c r="C89" s="29"/>
      <c r="D89" s="29"/>
      <c r="E89" s="29"/>
      <c r="F89" s="29"/>
      <c r="G89" s="29"/>
      <c r="H89" s="29"/>
      <c r="I89" s="34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>
      <c r="A90" s="29"/>
      <c r="B90" s="29"/>
      <c r="C90" s="29"/>
      <c r="D90" s="29"/>
      <c r="E90" s="29"/>
      <c r="F90" s="29"/>
      <c r="G90" s="29"/>
      <c r="H90" s="29"/>
      <c r="I90" s="34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>
      <c r="A91" s="29"/>
      <c r="B91" s="29"/>
      <c r="C91" s="29"/>
      <c r="D91" s="29"/>
      <c r="E91" s="29"/>
      <c r="F91" s="29"/>
      <c r="G91" s="29"/>
      <c r="H91" s="29"/>
      <c r="I91" s="34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>
      <c r="A92" s="29"/>
      <c r="B92" s="29"/>
      <c r="C92" s="29"/>
      <c r="D92" s="29"/>
      <c r="E92" s="29"/>
      <c r="F92" s="29"/>
      <c r="G92" s="29"/>
      <c r="H92" s="29"/>
      <c r="I92" s="34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>
      <c r="A93" s="29"/>
      <c r="B93" s="29"/>
      <c r="C93" s="29"/>
      <c r="D93" s="29"/>
      <c r="E93" s="29"/>
      <c r="F93" s="29"/>
      <c r="G93" s="29"/>
      <c r="H93" s="29"/>
      <c r="I93" s="34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>
      <c r="A94" s="29"/>
      <c r="B94" s="29"/>
      <c r="C94" s="29"/>
      <c r="D94" s="29"/>
      <c r="E94" s="29"/>
      <c r="F94" s="29"/>
      <c r="G94" s="29"/>
      <c r="H94" s="29"/>
      <c r="I94" s="34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>
      <c r="A95" s="29"/>
      <c r="B95" s="29"/>
      <c r="C95" s="29"/>
      <c r="D95" s="29"/>
      <c r="E95" s="29"/>
      <c r="F95" s="29"/>
      <c r="G95" s="29"/>
      <c r="H95" s="29"/>
      <c r="I95" s="34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>
      <c r="A96" s="29"/>
      <c r="B96" s="29"/>
      <c r="C96" s="29"/>
      <c r="D96" s="29"/>
      <c r="E96" s="29"/>
      <c r="F96" s="29"/>
      <c r="G96" s="29"/>
      <c r="H96" s="29"/>
      <c r="I96" s="34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>
      <c r="A97" s="29"/>
      <c r="B97" s="29"/>
      <c r="C97" s="29"/>
      <c r="D97" s="29"/>
      <c r="E97" s="29"/>
      <c r="F97" s="29"/>
      <c r="G97" s="29"/>
      <c r="H97" s="29"/>
      <c r="I97" s="34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>
      <c r="A98" s="29"/>
      <c r="B98" s="29"/>
      <c r="C98" s="29"/>
      <c r="D98" s="29"/>
      <c r="E98" s="29"/>
      <c r="F98" s="29"/>
      <c r="G98" s="29"/>
      <c r="H98" s="29"/>
      <c r="I98" s="34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>
      <c r="A99" s="29"/>
      <c r="B99" s="29"/>
      <c r="C99" s="29"/>
      <c r="D99" s="29"/>
      <c r="E99" s="29"/>
      <c r="F99" s="29"/>
      <c r="G99" s="29"/>
      <c r="H99" s="29"/>
      <c r="I99" s="34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>
      <c r="A100" s="29"/>
      <c r="B100" s="29"/>
      <c r="C100" s="29"/>
      <c r="D100" s="29"/>
      <c r="E100" s="29"/>
      <c r="F100" s="29"/>
      <c r="G100" s="29"/>
      <c r="H100" s="29"/>
      <c r="I100" s="34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34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34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34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34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34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34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34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34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34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34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34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34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34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34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34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34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34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34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34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34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34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34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34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34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34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34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34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34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34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34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34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34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34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34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34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34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34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34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34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34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34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34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34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34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34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34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34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34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34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34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34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34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34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34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34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34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34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34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34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34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34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34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34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34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34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34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34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34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34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34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34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34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34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34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34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34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34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34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34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34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34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34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34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34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34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34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34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34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34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34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34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34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34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34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34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34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34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34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34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34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34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34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34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34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34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34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34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34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34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34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34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34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34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34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34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34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34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34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34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34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34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34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34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34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34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34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34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34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34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34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34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34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34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34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34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34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34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34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34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34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34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34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34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34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34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34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34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34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34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34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34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34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34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34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34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34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34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34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34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34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34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34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34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34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34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34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34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34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34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34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34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34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34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34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34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34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34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34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34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34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34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34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34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34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34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34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34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34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34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34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34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34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34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34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34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34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34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34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34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34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34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34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34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34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34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34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34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34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34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34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34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34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34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34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34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34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34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34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34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34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34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34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34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34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34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34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34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34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34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34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34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34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34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34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34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34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34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34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34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34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34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34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34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34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34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34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34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34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34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34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34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34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34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34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34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34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34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34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34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34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34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34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34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34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34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34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34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34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34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34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34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34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34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34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34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34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34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34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34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34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34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34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34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34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34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34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34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34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34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34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34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34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34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34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34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34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34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34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34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34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34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34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34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34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34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34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34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34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34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34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34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34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34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34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34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34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34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34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34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34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34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34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34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34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34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34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34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34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34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34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34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34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34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34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34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34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34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34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34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34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34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34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34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34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34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34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34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34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34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34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34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34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34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34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34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34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34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34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34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34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34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34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34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34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34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34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34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34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34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34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34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34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34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34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34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34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34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34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34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34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34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34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34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34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34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34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34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34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34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34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34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34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34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34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34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34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34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34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34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34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34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34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34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34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34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34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34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34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34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34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34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34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34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34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34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34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34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34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34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34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34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34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34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34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34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34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34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34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34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34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34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34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34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34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34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34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34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34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34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34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34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34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34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34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34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34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34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34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34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34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34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34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34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34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34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34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34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34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34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34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34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34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34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34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34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34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34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34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34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34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34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34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34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34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34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34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34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34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34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34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34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34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34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34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34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34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34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34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34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34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34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34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34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34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34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34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34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34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34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34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34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34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34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34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34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34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34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34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34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34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34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34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34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34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34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34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34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34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34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34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34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34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34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34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34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34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34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34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34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34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34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34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34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34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34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34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34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34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34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34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34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34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34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34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34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34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34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34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34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34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34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34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34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34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34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34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34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34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34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34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34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34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34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34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34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34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34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34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34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34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34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34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34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34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34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34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34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34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34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34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34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34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34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34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34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34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34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34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34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34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34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34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34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34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34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34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34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34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34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34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34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34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34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34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34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34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34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34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34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34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34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34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34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34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34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34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34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34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34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34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34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34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34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34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34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34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34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34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34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34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34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34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34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34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34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34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34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34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34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34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34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34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34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34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34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34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34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34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34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34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34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34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34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34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34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34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34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34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34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34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34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34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34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34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34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34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34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34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34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34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34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34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34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34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34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34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34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34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34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34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34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34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34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34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34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34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34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34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34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34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34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34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34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34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34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34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34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34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34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34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34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34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34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34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34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34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34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34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34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34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34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34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34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34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34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34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34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34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34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34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34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34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34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34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34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34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34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34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34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34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34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34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34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34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34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34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34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34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34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34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34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34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34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34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34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34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34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34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34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34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34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34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34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34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34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34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34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34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34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34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34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34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34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34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34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34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34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34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34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34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34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34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34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34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34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34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34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34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34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34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34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34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34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34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34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34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34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34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34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34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34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34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34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34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34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34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34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34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34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34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34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34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34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34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34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34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34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34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34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34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34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34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34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34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34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34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34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34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34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34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34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34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34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34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34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34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34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34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34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34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34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34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34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34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34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34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34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34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34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34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34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34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34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34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34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34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34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34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34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34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34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34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34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34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34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34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34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34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34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34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34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34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34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34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34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34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34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34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34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34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34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34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34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</sheetData>
  <autoFilter ref="$A$1:$P$973"/>
  <dataValidations>
    <dataValidation type="list" allowBlank="1" showErrorMessage="1" sqref="D2:D26">
      <formula1>"MOU Assinado,Contrato,Aguardando Informação,1a Reunião alinhamento,Avaliação,Recusa,2a Reunião,Startup avaliando"</formula1>
    </dataValidation>
    <dataValidation type="list" allowBlank="1" showErrorMessage="1" sqref="G2:G26">
      <formula1>"Marketing,Jurídico,Financeiro,Tech"</formula1>
    </dataValidation>
    <dataValidation type="list" allowBlank="1" showErrorMessage="1" sqref="H3:H6 H8 H10:H15 H18 H20:H26">
      <formula1>"Ideação,MVP,Tração"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A8"/>
    <hyperlink r:id="rId8" ref="E8"/>
    <hyperlink r:id="rId9" ref="E9"/>
    <hyperlink r:id="rId10" ref="E10"/>
    <hyperlink r:id="rId11" ref="E12"/>
    <hyperlink r:id="rId12" ref="E13"/>
    <hyperlink r:id="rId13" ref="E14"/>
    <hyperlink r:id="rId14" ref="E15"/>
    <hyperlink r:id="rId15" ref="E18"/>
    <hyperlink r:id="rId16" ref="E19"/>
    <hyperlink r:id="rId17" ref="E20"/>
    <hyperlink r:id="rId18" ref="E23"/>
    <hyperlink r:id="rId19" ref="E24"/>
    <hyperlink r:id="rId20" ref="E25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5"/>
    <col customWidth="1" min="2" max="3" width="20.75"/>
    <col customWidth="1" min="4" max="4" width="16.5"/>
    <col customWidth="1" min="5" max="5" width="17.75"/>
    <col customWidth="1" min="6" max="6" width="13.88"/>
    <col customWidth="1" min="7" max="7" width="15.63"/>
    <col customWidth="1" min="8" max="8" width="15.0"/>
    <col customWidth="1" min="9" max="9" width="15.5"/>
    <col customWidth="1" min="10" max="10" width="16.0"/>
    <col customWidth="1" min="11" max="11" width="16.88"/>
  </cols>
  <sheetData>
    <row r="1">
      <c r="A1" s="57" t="s">
        <v>145</v>
      </c>
      <c r="B1" s="57" t="s">
        <v>146</v>
      </c>
      <c r="C1" s="57" t="s">
        <v>147</v>
      </c>
      <c r="D1" s="57" t="s">
        <v>148</v>
      </c>
      <c r="E1" s="57" t="s">
        <v>149</v>
      </c>
      <c r="F1" s="57" t="s">
        <v>150</v>
      </c>
      <c r="G1" s="57" t="s">
        <v>151</v>
      </c>
      <c r="H1" s="57" t="s">
        <v>152</v>
      </c>
      <c r="I1" s="57" t="s">
        <v>153</v>
      </c>
      <c r="J1" s="57" t="s">
        <v>154</v>
      </c>
      <c r="K1" s="57" t="s">
        <v>155</v>
      </c>
      <c r="L1" s="58" t="s">
        <v>156</v>
      </c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125</v>
      </c>
      <c r="B2" s="60" t="s">
        <v>157</v>
      </c>
      <c r="C2" s="60" t="s">
        <v>157</v>
      </c>
      <c r="D2" s="60" t="s">
        <v>157</v>
      </c>
      <c r="E2" s="60" t="s">
        <v>158</v>
      </c>
      <c r="F2" s="60" t="s">
        <v>158</v>
      </c>
      <c r="G2" s="60" t="s">
        <v>157</v>
      </c>
      <c r="H2" s="60" t="s">
        <v>158</v>
      </c>
      <c r="I2" s="60" t="s">
        <v>158</v>
      </c>
      <c r="J2" s="60" t="s">
        <v>159</v>
      </c>
      <c r="K2" s="60" t="s">
        <v>158</v>
      </c>
      <c r="L2" s="61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60" t="s">
        <v>58</v>
      </c>
      <c r="B3" s="60" t="s">
        <v>157</v>
      </c>
      <c r="C3" s="60" t="s">
        <v>157</v>
      </c>
      <c r="D3" s="60" t="s">
        <v>157</v>
      </c>
      <c r="E3" s="60" t="s">
        <v>157</v>
      </c>
      <c r="F3" s="60" t="s">
        <v>158</v>
      </c>
      <c r="G3" s="60" t="s">
        <v>157</v>
      </c>
      <c r="H3" s="60" t="s">
        <v>159</v>
      </c>
      <c r="I3" s="60" t="s">
        <v>158</v>
      </c>
      <c r="J3" s="60" t="s">
        <v>158</v>
      </c>
      <c r="K3" s="60" t="s">
        <v>158</v>
      </c>
      <c r="L3" s="61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0" t="s">
        <v>48</v>
      </c>
      <c r="B4" s="60" t="s">
        <v>157</v>
      </c>
      <c r="C4" s="60" t="s">
        <v>157</v>
      </c>
      <c r="D4" s="60" t="s">
        <v>158</v>
      </c>
      <c r="E4" s="60" t="s">
        <v>158</v>
      </c>
      <c r="F4" s="60" t="s">
        <v>159</v>
      </c>
      <c r="G4" s="60" t="s">
        <v>157</v>
      </c>
      <c r="H4" s="60" t="s">
        <v>158</v>
      </c>
      <c r="I4" s="60" t="s">
        <v>158</v>
      </c>
      <c r="J4" s="60" t="s">
        <v>158</v>
      </c>
      <c r="K4" s="60" t="s">
        <v>158</v>
      </c>
      <c r="L4" s="61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0" t="s">
        <v>85</v>
      </c>
      <c r="B5" s="60" t="s">
        <v>157</v>
      </c>
      <c r="C5" s="60" t="s">
        <v>157</v>
      </c>
      <c r="D5" s="60" t="s">
        <v>157</v>
      </c>
      <c r="E5" s="60" t="s">
        <v>157</v>
      </c>
      <c r="F5" s="60" t="s">
        <v>158</v>
      </c>
      <c r="G5" s="60" t="s">
        <v>157</v>
      </c>
      <c r="H5" s="60" t="s">
        <v>158</v>
      </c>
      <c r="I5" s="60" t="s">
        <v>158</v>
      </c>
      <c r="J5" s="60" t="s">
        <v>157</v>
      </c>
      <c r="K5" s="60" t="s">
        <v>158</v>
      </c>
      <c r="L5" s="61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0" t="s">
        <v>99</v>
      </c>
      <c r="B6" s="60" t="s">
        <v>157</v>
      </c>
      <c r="C6" s="60" t="s">
        <v>157</v>
      </c>
      <c r="D6" s="60" t="s">
        <v>157</v>
      </c>
      <c r="E6" s="60" t="s">
        <v>157</v>
      </c>
      <c r="F6" s="60" t="s">
        <v>157</v>
      </c>
      <c r="G6" s="60" t="s">
        <v>157</v>
      </c>
      <c r="H6" s="60" t="s">
        <v>158</v>
      </c>
      <c r="I6" s="60" t="s">
        <v>157</v>
      </c>
      <c r="J6" s="60" t="s">
        <v>158</v>
      </c>
      <c r="K6" s="60" t="s">
        <v>158</v>
      </c>
      <c r="L6" s="61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0" t="s">
        <v>89</v>
      </c>
      <c r="B7" s="60" t="s">
        <v>157</v>
      </c>
      <c r="C7" s="60" t="s">
        <v>157</v>
      </c>
      <c r="D7" s="60" t="s">
        <v>157</v>
      </c>
      <c r="E7" s="60" t="s">
        <v>158</v>
      </c>
      <c r="F7" s="60" t="s">
        <v>158</v>
      </c>
      <c r="G7" s="60" t="s">
        <v>157</v>
      </c>
      <c r="H7" s="60" t="s">
        <v>157</v>
      </c>
      <c r="I7" s="60" t="s">
        <v>157</v>
      </c>
      <c r="J7" s="60" t="s">
        <v>158</v>
      </c>
      <c r="K7" s="60" t="s">
        <v>158</v>
      </c>
      <c r="L7" s="61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2" t="s">
        <v>73</v>
      </c>
      <c r="B8" s="60" t="s">
        <v>160</v>
      </c>
      <c r="C8" s="60" t="s">
        <v>157</v>
      </c>
      <c r="D8" s="60" t="s">
        <v>157</v>
      </c>
      <c r="E8" s="60" t="s">
        <v>158</v>
      </c>
      <c r="F8" s="60" t="s">
        <v>158</v>
      </c>
      <c r="G8" s="60" t="s">
        <v>157</v>
      </c>
      <c r="H8" s="60" t="s">
        <v>158</v>
      </c>
      <c r="I8" s="60" t="s">
        <v>160</v>
      </c>
      <c r="J8" s="60" t="s">
        <v>160</v>
      </c>
      <c r="K8" s="60" t="s">
        <v>157</v>
      </c>
      <c r="L8" s="61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0" t="s">
        <v>116</v>
      </c>
      <c r="B9" s="60" t="s">
        <v>157</v>
      </c>
      <c r="C9" s="60" t="s">
        <v>157</v>
      </c>
      <c r="D9" s="60" t="s">
        <v>157</v>
      </c>
      <c r="E9" s="60" t="s">
        <v>157</v>
      </c>
      <c r="F9" s="60" t="s">
        <v>157</v>
      </c>
      <c r="G9" s="60" t="s">
        <v>157</v>
      </c>
      <c r="H9" s="60" t="s">
        <v>157</v>
      </c>
      <c r="I9" s="60" t="s">
        <v>157</v>
      </c>
      <c r="J9" s="60" t="s">
        <v>160</v>
      </c>
      <c r="K9" s="60" t="s">
        <v>157</v>
      </c>
      <c r="L9" s="61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0" t="s">
        <v>93</v>
      </c>
      <c r="B10" s="60" t="s">
        <v>157</v>
      </c>
      <c r="C10" s="60" t="s">
        <v>160</v>
      </c>
      <c r="D10" s="60" t="s">
        <v>159</v>
      </c>
      <c r="E10" s="60" t="s">
        <v>159</v>
      </c>
      <c r="F10" s="60" t="s">
        <v>159</v>
      </c>
      <c r="G10" s="60" t="s">
        <v>157</v>
      </c>
      <c r="H10" s="60" t="s">
        <v>159</v>
      </c>
      <c r="I10" s="60" t="s">
        <v>159</v>
      </c>
      <c r="J10" s="60" t="s">
        <v>159</v>
      </c>
      <c r="K10" s="60" t="s">
        <v>160</v>
      </c>
      <c r="L10" s="61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0" t="s">
        <v>63</v>
      </c>
      <c r="B11" s="60" t="s">
        <v>160</v>
      </c>
      <c r="C11" s="60" t="s">
        <v>160</v>
      </c>
      <c r="D11" s="60" t="s">
        <v>159</v>
      </c>
      <c r="E11" s="60" t="s">
        <v>159</v>
      </c>
      <c r="F11" s="60" t="s">
        <v>159</v>
      </c>
      <c r="G11" s="60" t="s">
        <v>157</v>
      </c>
      <c r="H11" s="60" t="s">
        <v>158</v>
      </c>
      <c r="I11" s="60" t="s">
        <v>157</v>
      </c>
      <c r="J11" s="60" t="s">
        <v>159</v>
      </c>
      <c r="K11" s="60" t="s">
        <v>160</v>
      </c>
      <c r="L11" s="61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0" t="s">
        <v>161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1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0" t="s">
        <v>121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1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0" t="s">
        <v>109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1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0" t="s">
        <v>69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1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0" t="s">
        <v>162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1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60" t="s">
        <v>113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1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60" t="s">
        <v>42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1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64" t="s">
        <v>104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1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65" t="s">
        <v>136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1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66" t="s">
        <v>139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1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65" t="s">
        <v>142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1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66" t="s">
        <v>132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1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1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1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1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1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1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1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1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1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1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1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1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1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1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1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1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1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1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1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1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1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1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1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1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1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1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1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1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1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1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1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1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1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1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1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1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1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1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1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1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1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1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1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1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1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1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1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1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1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1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1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1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1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1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1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1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1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1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1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1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1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1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1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1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1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1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1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1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1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1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1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1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1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1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1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1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1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1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1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1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1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1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1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1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1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1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1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1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1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1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1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1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1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1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1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1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1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1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1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1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1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1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1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1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1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1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1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1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1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1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1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1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1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1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1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1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1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1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1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1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1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1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1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1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1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1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1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1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1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1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1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1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1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1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1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1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1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1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1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1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1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1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1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1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1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1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1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1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1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1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1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1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1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1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1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1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1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1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1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1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1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1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1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1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1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1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1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1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1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1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1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1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1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1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1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1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1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1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1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1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1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1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1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1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1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1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1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1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1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1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1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1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1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1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1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1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1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1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1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1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1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1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1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1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1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1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1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1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1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1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1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1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1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1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1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1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1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1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1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1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1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1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1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1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1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1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1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1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1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1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1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1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1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1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1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1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1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1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1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1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1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1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1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1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1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1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1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1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1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1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1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1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1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1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1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1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1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1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1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1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1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1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1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1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1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1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1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1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1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1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1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1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1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1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1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1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1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1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1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1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1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1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1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1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1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1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1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1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1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1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1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1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1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1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1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1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1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1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1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1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1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1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1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1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1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1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1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1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1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1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1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1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1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1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1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1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1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1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1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1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1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1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1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1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1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1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1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1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1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1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1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1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1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1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1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1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1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1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1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1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1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1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1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1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1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1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1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1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1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1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1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1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1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1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1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1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1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1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1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1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1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1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1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1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1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1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1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1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1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1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1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1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1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1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1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1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1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1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1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1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1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1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1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1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1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1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1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1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1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1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1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1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1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1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1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1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1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1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1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1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1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1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1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1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1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1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1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1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1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1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1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1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1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1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1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1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1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1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1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1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1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1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1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1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1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1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1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1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1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1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1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1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1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1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1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1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1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1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1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1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1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1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1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1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1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1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1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1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1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1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1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1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1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1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1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1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1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1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1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1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1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1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1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1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1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1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1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1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1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1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1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1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1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1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1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1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1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1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1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1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1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1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1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1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1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1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1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1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1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1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1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1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1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1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1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1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1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1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1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1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1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1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1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1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1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1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1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1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1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1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1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1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1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1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1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1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1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1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1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1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1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1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1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1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1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1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1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1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1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1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1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1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1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1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1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1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1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1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1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1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1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1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1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1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1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1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1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1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1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1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1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1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1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1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1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1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1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1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1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1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1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1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1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1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1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1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1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1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1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1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1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1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1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1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1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1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1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1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1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1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1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1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1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1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1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1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1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1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1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1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1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1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1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1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1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1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1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1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1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1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1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1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1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1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1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1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1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1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1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1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1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1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1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1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1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1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1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1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1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1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1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1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1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1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1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1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1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1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1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1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1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1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1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1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1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1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1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1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1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1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1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1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1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1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1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1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1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1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1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1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1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1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1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1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1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1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1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1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1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1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1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1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1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1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1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1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1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1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1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1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1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1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1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1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1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1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1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1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1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1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1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1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1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1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1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1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1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1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1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1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1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1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1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1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1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1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1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1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1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1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1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1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1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1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1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1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1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1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1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1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1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1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1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1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1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1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1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1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1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1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1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1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1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1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1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1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1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1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1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1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1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1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1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1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1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1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1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1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1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1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1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1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1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1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1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1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1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1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1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1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1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1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1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1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1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1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1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1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1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1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1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1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1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1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1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1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1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1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1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1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1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1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1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1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1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1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1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1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1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1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1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1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1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1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1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1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1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1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1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1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1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1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1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1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1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1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1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1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1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1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1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1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1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1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1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1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1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1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1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1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1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1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1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1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1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1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1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1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1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1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1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1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1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1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1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1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1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1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1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1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1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1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1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1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1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1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1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1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1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1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1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1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1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1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1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1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1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1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1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1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1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1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1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1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1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1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1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1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1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1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1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1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1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1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1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1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1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1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1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1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1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1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1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1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1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1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1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1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1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1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1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1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1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1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1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1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1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1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1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1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1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1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1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1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1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1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1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1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1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1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1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1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1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1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1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1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1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1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1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1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1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1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1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1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1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1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1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1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1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1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1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1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1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1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1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1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1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1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1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1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1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1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1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1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1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1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1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1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1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1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1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1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1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1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1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1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1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1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1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1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1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1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1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1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1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1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1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1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1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1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1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1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1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1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1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1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1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1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1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1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1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1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1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1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1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1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</sheetData>
  <hyperlinks>
    <hyperlink r:id="rId1" ref="A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 t="s">
        <v>163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9" t="s">
        <v>164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9" t="s">
        <v>165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9" t="s">
        <v>166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9" t="s">
        <v>167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7" t="s">
        <v>168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9" t="s">
        <v>169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9" t="s">
        <v>170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9" t="s">
        <v>171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9" t="s">
        <v>172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7" t="s">
        <v>173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9" t="s">
        <v>174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9" t="s">
        <v>175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9" t="s">
        <v>176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9" t="s">
        <v>177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7" t="s">
        <v>178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69" t="s">
        <v>179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9" t="s">
        <v>180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9" t="s">
        <v>181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9" t="s">
        <v>182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9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7" t="s">
        <v>183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9" t="s">
        <v>184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9" t="s">
        <v>185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9" t="s">
        <v>186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9" t="s">
        <v>187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7" t="s">
        <v>188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9" t="s">
        <v>189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9" t="s">
        <v>190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9" t="s">
        <v>191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9" t="s">
        <v>192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7" t="s">
        <v>193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9" t="s">
        <v>194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9" t="s">
        <v>195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9" t="s">
        <v>196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9" t="s">
        <v>197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7" t="s">
        <v>198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9" t="s">
        <v>199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9" t="s">
        <v>200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9" t="s">
        <v>201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9" t="s">
        <v>202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7" t="s">
        <v>203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9" t="s">
        <v>204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9" t="s">
        <v>205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9" t="s">
        <v>206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9" t="s">
        <v>207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7" t="s">
        <v>208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9" t="s">
        <v>209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9" t="s">
        <v>210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9" t="s">
        <v>211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9" t="s">
        <v>212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7" t="s">
        <v>213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9" t="s">
        <v>214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7" t="s">
        <v>215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7" t="s">
        <v>216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7" t="s">
        <v>217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7" t="s">
        <v>218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7" t="s">
        <v>219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7" t="s">
        <v>220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7" t="s">
        <v>221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9" t="s">
        <v>222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7" t="s">
        <v>223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9" t="s">
        <v>224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9" t="s">
        <v>225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71" t="s">
        <v>226</v>
      </c>
      <c r="B75" s="71" t="s">
        <v>227</v>
      </c>
      <c r="C75" s="71" t="s">
        <v>3</v>
      </c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9" t="s">
        <v>228</v>
      </c>
      <c r="B76" s="72" t="s">
        <v>229</v>
      </c>
      <c r="C76" s="69" t="s">
        <v>230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9" t="s">
        <v>231</v>
      </c>
      <c r="B77" s="72" t="s">
        <v>232</v>
      </c>
      <c r="C77" s="69" t="s">
        <v>233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9" t="s">
        <v>234</v>
      </c>
      <c r="B78" s="72" t="s">
        <v>235</v>
      </c>
      <c r="C78" s="69" t="s">
        <v>236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0</v>
      </c>
      <c r="B1" s="73" t="s">
        <v>26</v>
      </c>
      <c r="C1" s="73" t="s">
        <v>237</v>
      </c>
    </row>
    <row r="2">
      <c r="A2" s="74">
        <v>0.3819444444444444</v>
      </c>
      <c r="B2" s="75" t="s">
        <v>238</v>
      </c>
      <c r="C2" s="76" t="s">
        <v>239</v>
      </c>
    </row>
    <row r="3">
      <c r="A3" s="74">
        <v>0.3958333333333333</v>
      </c>
      <c r="B3" s="75" t="s">
        <v>240</v>
      </c>
      <c r="C3" s="76" t="s">
        <v>241</v>
      </c>
    </row>
    <row r="4">
      <c r="A4" s="74">
        <v>0.4097222222222222</v>
      </c>
      <c r="B4" s="75" t="s">
        <v>242</v>
      </c>
      <c r="C4" s="76" t="s">
        <v>243</v>
      </c>
    </row>
    <row r="5">
      <c r="A5" s="74">
        <v>0.4270833333333333</v>
      </c>
      <c r="B5" s="75" t="s">
        <v>244</v>
      </c>
      <c r="C5" s="76" t="s">
        <v>245</v>
      </c>
    </row>
    <row r="6">
      <c r="A6" s="74">
        <v>0.4409722222222222</v>
      </c>
      <c r="B6" s="77" t="s">
        <v>246</v>
      </c>
      <c r="C6" s="76" t="s">
        <v>247</v>
      </c>
    </row>
    <row r="7">
      <c r="A7" s="74">
        <v>0.4548611111111111</v>
      </c>
      <c r="B7" s="75" t="s">
        <v>248</v>
      </c>
      <c r="C7" s="76" t="s">
        <v>249</v>
      </c>
    </row>
  </sheetData>
  <hyperlinks>
    <hyperlink r:id="rId1" ref="B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25"/>
    <col customWidth="1" min="3" max="3" width="34.75"/>
    <col customWidth="1" min="4" max="4" width="43.13"/>
    <col customWidth="1" min="5" max="5" width="18.5"/>
    <col customWidth="1" min="6" max="28" width="18.0"/>
  </cols>
  <sheetData>
    <row r="1">
      <c r="A1" s="78" t="s">
        <v>0</v>
      </c>
      <c r="B1" s="78" t="s">
        <v>1</v>
      </c>
      <c r="C1" s="79" t="s">
        <v>2</v>
      </c>
      <c r="D1" s="79" t="s">
        <v>3</v>
      </c>
      <c r="E1" s="79" t="s">
        <v>4</v>
      </c>
    </row>
    <row r="2">
      <c r="A2" s="80">
        <v>0.375</v>
      </c>
      <c r="B2" s="80">
        <v>0.003472222222222222</v>
      </c>
      <c r="C2" s="81" t="s">
        <v>5</v>
      </c>
      <c r="D2" s="81" t="s">
        <v>6</v>
      </c>
      <c r="E2" s="81" t="s">
        <v>7</v>
      </c>
    </row>
    <row r="3">
      <c r="A3" s="80">
        <f t="shared" ref="A3:A23" si="1">A2+B2</f>
        <v>0.3784722222</v>
      </c>
      <c r="B3" s="80">
        <v>0.003472222222222222</v>
      </c>
      <c r="C3" s="81" t="s">
        <v>8</v>
      </c>
      <c r="D3" s="81" t="s">
        <v>9</v>
      </c>
      <c r="E3" s="81" t="s">
        <v>7</v>
      </c>
    </row>
    <row r="4">
      <c r="A4" s="82">
        <f t="shared" si="1"/>
        <v>0.3819444444</v>
      </c>
      <c r="B4" s="82">
        <v>0.005555555555555556</v>
      </c>
      <c r="C4" s="83" t="s">
        <v>11</v>
      </c>
      <c r="D4" s="83" t="s">
        <v>12</v>
      </c>
      <c r="E4" s="83" t="s">
        <v>238</v>
      </c>
      <c r="F4" s="76" t="s">
        <v>250</v>
      </c>
    </row>
    <row r="5">
      <c r="A5" s="82">
        <f t="shared" si="1"/>
        <v>0.3875</v>
      </c>
      <c r="B5" s="82">
        <v>0.006944444444444444</v>
      </c>
      <c r="C5" s="83" t="s">
        <v>13</v>
      </c>
      <c r="D5" s="83" t="s">
        <v>14</v>
      </c>
      <c r="E5" s="83" t="s">
        <v>7</v>
      </c>
    </row>
    <row r="6">
      <c r="A6" s="82">
        <f t="shared" si="1"/>
        <v>0.3944444444</v>
      </c>
      <c r="B6" s="82">
        <v>0.001388888888888889</v>
      </c>
      <c r="C6" s="83" t="s">
        <v>15</v>
      </c>
      <c r="D6" s="83" t="s">
        <v>16</v>
      </c>
      <c r="E6" s="83" t="s">
        <v>17</v>
      </c>
    </row>
    <row r="7">
      <c r="A7" s="84">
        <f t="shared" si="1"/>
        <v>0.3958333333</v>
      </c>
      <c r="B7" s="84">
        <v>0.005555555555555556</v>
      </c>
      <c r="C7" s="85" t="s">
        <v>18</v>
      </c>
      <c r="D7" s="85" t="s">
        <v>12</v>
      </c>
      <c r="E7" s="85" t="s">
        <v>251</v>
      </c>
      <c r="F7" s="76" t="s">
        <v>250</v>
      </c>
    </row>
    <row r="8">
      <c r="A8" s="84">
        <f t="shared" si="1"/>
        <v>0.4013888889</v>
      </c>
      <c r="B8" s="84">
        <v>0.006944444444444444</v>
      </c>
      <c r="C8" s="85" t="s">
        <v>13</v>
      </c>
      <c r="D8" s="85" t="s">
        <v>14</v>
      </c>
      <c r="E8" s="85" t="s">
        <v>7</v>
      </c>
    </row>
    <row r="9">
      <c r="A9" s="84">
        <f t="shared" si="1"/>
        <v>0.4083333333</v>
      </c>
      <c r="B9" s="84">
        <v>0.001388888888888889</v>
      </c>
      <c r="C9" s="85" t="s">
        <v>15</v>
      </c>
      <c r="D9" s="85" t="s">
        <v>16</v>
      </c>
      <c r="E9" s="85" t="s">
        <v>17</v>
      </c>
    </row>
    <row r="10">
      <c r="A10" s="86">
        <f t="shared" si="1"/>
        <v>0.4097222222</v>
      </c>
      <c r="B10" s="86">
        <v>0.005555555555555556</v>
      </c>
      <c r="C10" s="87" t="s">
        <v>19</v>
      </c>
      <c r="D10" s="87" t="s">
        <v>12</v>
      </c>
      <c r="E10" s="87" t="s">
        <v>252</v>
      </c>
      <c r="F10" s="76" t="s">
        <v>250</v>
      </c>
    </row>
    <row r="11">
      <c r="A11" s="86">
        <f t="shared" si="1"/>
        <v>0.4152777778</v>
      </c>
      <c r="B11" s="86">
        <v>0.006944444444444444</v>
      </c>
      <c r="C11" s="87" t="s">
        <v>13</v>
      </c>
      <c r="D11" s="87" t="s">
        <v>14</v>
      </c>
      <c r="E11" s="87" t="s">
        <v>7</v>
      </c>
    </row>
    <row r="12">
      <c r="A12" s="86">
        <f t="shared" si="1"/>
        <v>0.4222222222</v>
      </c>
      <c r="B12" s="86">
        <v>0.001388888888888889</v>
      </c>
      <c r="C12" s="87" t="s">
        <v>15</v>
      </c>
      <c r="D12" s="87" t="s">
        <v>16</v>
      </c>
      <c r="E12" s="87" t="s">
        <v>17</v>
      </c>
    </row>
    <row r="13">
      <c r="A13" s="80">
        <f t="shared" si="1"/>
        <v>0.4236111111</v>
      </c>
      <c r="B13" s="80">
        <v>0.003472222222222222</v>
      </c>
      <c r="C13" s="81" t="s">
        <v>20</v>
      </c>
      <c r="D13" s="81" t="s">
        <v>21</v>
      </c>
      <c r="E13" s="81" t="s">
        <v>7</v>
      </c>
    </row>
    <row r="14">
      <c r="A14" s="88">
        <f t="shared" si="1"/>
        <v>0.4270833333</v>
      </c>
      <c r="B14" s="88">
        <v>0.005555555555555556</v>
      </c>
      <c r="C14" s="89" t="s">
        <v>22</v>
      </c>
      <c r="D14" s="89" t="s">
        <v>12</v>
      </c>
      <c r="E14" s="89" t="s">
        <v>253</v>
      </c>
      <c r="F14" s="76" t="s">
        <v>250</v>
      </c>
    </row>
    <row r="15">
      <c r="A15" s="88">
        <f t="shared" si="1"/>
        <v>0.4326388889</v>
      </c>
      <c r="B15" s="88">
        <v>0.006944444444444444</v>
      </c>
      <c r="C15" s="89" t="s">
        <v>13</v>
      </c>
      <c r="D15" s="89" t="s">
        <v>14</v>
      </c>
      <c r="E15" s="89" t="s">
        <v>7</v>
      </c>
    </row>
    <row r="16">
      <c r="A16" s="88">
        <f t="shared" si="1"/>
        <v>0.4395833333</v>
      </c>
      <c r="B16" s="88">
        <v>0.001388888888888889</v>
      </c>
      <c r="C16" s="89" t="s">
        <v>15</v>
      </c>
      <c r="D16" s="89" t="s">
        <v>16</v>
      </c>
      <c r="E16" s="89" t="s">
        <v>17</v>
      </c>
    </row>
    <row r="17">
      <c r="A17" s="90">
        <f t="shared" si="1"/>
        <v>0.4409722222</v>
      </c>
      <c r="B17" s="90">
        <v>0.005555555555555556</v>
      </c>
      <c r="C17" s="91" t="s">
        <v>23</v>
      </c>
      <c r="D17" s="91" t="s">
        <v>12</v>
      </c>
      <c r="E17" s="92" t="s">
        <v>246</v>
      </c>
      <c r="F17" s="76" t="s">
        <v>250</v>
      </c>
    </row>
    <row r="18">
      <c r="A18" s="90">
        <f t="shared" si="1"/>
        <v>0.4465277778</v>
      </c>
      <c r="B18" s="90">
        <v>0.006944444444444444</v>
      </c>
      <c r="C18" s="91" t="s">
        <v>13</v>
      </c>
      <c r="D18" s="91" t="s">
        <v>14</v>
      </c>
      <c r="E18" s="91" t="s">
        <v>7</v>
      </c>
    </row>
    <row r="19">
      <c r="A19" s="90">
        <f t="shared" si="1"/>
        <v>0.4534722222</v>
      </c>
      <c r="B19" s="90">
        <v>0.001388888888888889</v>
      </c>
      <c r="C19" s="91" t="s">
        <v>15</v>
      </c>
      <c r="D19" s="91" t="s">
        <v>16</v>
      </c>
      <c r="E19" s="91" t="s">
        <v>17</v>
      </c>
    </row>
    <row r="20">
      <c r="A20" s="93">
        <f t="shared" si="1"/>
        <v>0.4548611111</v>
      </c>
      <c r="B20" s="93">
        <v>0.005555555555555556</v>
      </c>
      <c r="C20" s="94" t="s">
        <v>24</v>
      </c>
      <c r="D20" s="94" t="s">
        <v>12</v>
      </c>
      <c r="E20" s="94" t="s">
        <v>248</v>
      </c>
      <c r="F20" s="76" t="s">
        <v>250</v>
      </c>
    </row>
    <row r="21">
      <c r="A21" s="93">
        <f t="shared" si="1"/>
        <v>0.4604166667</v>
      </c>
      <c r="B21" s="93">
        <v>0.006944444444444444</v>
      </c>
      <c r="C21" s="94" t="s">
        <v>13</v>
      </c>
      <c r="D21" s="94" t="s">
        <v>14</v>
      </c>
      <c r="E21" s="94" t="s">
        <v>7</v>
      </c>
    </row>
    <row r="22">
      <c r="A22" s="93">
        <f t="shared" si="1"/>
        <v>0.4673611111</v>
      </c>
      <c r="B22" s="93">
        <v>0.001388888888888889</v>
      </c>
      <c r="C22" s="94" t="s">
        <v>15</v>
      </c>
      <c r="D22" s="94" t="s">
        <v>16</v>
      </c>
      <c r="E22" s="94" t="s">
        <v>17</v>
      </c>
    </row>
    <row r="23">
      <c r="A23" s="80">
        <f t="shared" si="1"/>
        <v>0.46875</v>
      </c>
      <c r="B23" s="80">
        <v>0.001388888888888889</v>
      </c>
      <c r="C23" s="81" t="s">
        <v>25</v>
      </c>
      <c r="D23" s="95"/>
      <c r="E23" s="95" t="s">
        <v>7</v>
      </c>
    </row>
    <row r="24">
      <c r="A24" s="96"/>
      <c r="B24" s="96"/>
    </row>
    <row r="25">
      <c r="A25" s="96"/>
      <c r="B25" s="96"/>
    </row>
    <row r="26">
      <c r="A26" s="96"/>
      <c r="B26" s="96"/>
    </row>
    <row r="27">
      <c r="A27" s="96"/>
      <c r="B27" s="96"/>
    </row>
    <row r="28">
      <c r="A28" s="96"/>
      <c r="B28" s="96"/>
    </row>
    <row r="29">
      <c r="A29" s="96"/>
      <c r="B29" s="96"/>
    </row>
    <row r="30">
      <c r="A30" s="96"/>
      <c r="B30" s="96"/>
    </row>
    <row r="31">
      <c r="A31" s="96"/>
      <c r="B31" s="96"/>
    </row>
    <row r="32">
      <c r="A32" s="96"/>
      <c r="B32" s="96"/>
    </row>
    <row r="33">
      <c r="A33" s="96"/>
      <c r="B33" s="96"/>
    </row>
    <row r="34">
      <c r="A34" s="96"/>
      <c r="B34" s="96"/>
    </row>
    <row r="35">
      <c r="A35" s="96"/>
      <c r="B35" s="96"/>
    </row>
    <row r="36">
      <c r="A36" s="96"/>
      <c r="B36" s="96"/>
    </row>
    <row r="37">
      <c r="A37" s="96"/>
      <c r="B37" s="96"/>
    </row>
    <row r="38">
      <c r="A38" s="96"/>
      <c r="B38" s="96"/>
    </row>
    <row r="39">
      <c r="A39" s="96"/>
      <c r="B39" s="96"/>
    </row>
    <row r="40">
      <c r="A40" s="96"/>
      <c r="B40" s="96"/>
    </row>
    <row r="41">
      <c r="A41" s="96"/>
      <c r="B41" s="96"/>
    </row>
    <row r="42">
      <c r="A42" s="96"/>
      <c r="B42" s="96"/>
    </row>
    <row r="43">
      <c r="A43" s="96"/>
      <c r="B43" s="96"/>
    </row>
    <row r="44">
      <c r="A44" s="96"/>
      <c r="B44" s="96"/>
    </row>
    <row r="45">
      <c r="A45" s="96"/>
      <c r="B45" s="96"/>
    </row>
    <row r="46">
      <c r="A46" s="96"/>
      <c r="B46" s="96"/>
    </row>
    <row r="47">
      <c r="A47" s="96"/>
      <c r="B47" s="96"/>
    </row>
    <row r="48">
      <c r="A48" s="96"/>
      <c r="B48" s="96"/>
    </row>
    <row r="49">
      <c r="A49" s="96"/>
      <c r="B49" s="96"/>
    </row>
    <row r="50">
      <c r="A50" s="96"/>
      <c r="B50" s="96"/>
    </row>
    <row r="51">
      <c r="A51" s="96"/>
      <c r="B51" s="96"/>
    </row>
    <row r="52">
      <c r="A52" s="96"/>
      <c r="B52" s="96"/>
    </row>
    <row r="53">
      <c r="A53" s="96"/>
      <c r="B53" s="96"/>
    </row>
    <row r="54">
      <c r="A54" s="96"/>
      <c r="B54" s="96"/>
    </row>
    <row r="55">
      <c r="A55" s="96"/>
      <c r="B55" s="96"/>
    </row>
    <row r="56">
      <c r="A56" s="96"/>
      <c r="B56" s="96"/>
    </row>
    <row r="57">
      <c r="A57" s="96"/>
      <c r="B57" s="96"/>
    </row>
    <row r="58">
      <c r="A58" s="96"/>
      <c r="B58" s="96"/>
    </row>
    <row r="59">
      <c r="A59" s="96"/>
      <c r="B59" s="96"/>
    </row>
    <row r="60">
      <c r="A60" s="96"/>
      <c r="B60" s="96"/>
    </row>
    <row r="61">
      <c r="A61" s="96"/>
      <c r="B61" s="96"/>
    </row>
    <row r="62">
      <c r="A62" s="96"/>
      <c r="B62" s="96"/>
    </row>
    <row r="63">
      <c r="A63" s="96"/>
      <c r="B63" s="96"/>
    </row>
    <row r="64">
      <c r="A64" s="96"/>
      <c r="B64" s="96"/>
    </row>
    <row r="65">
      <c r="A65" s="96"/>
      <c r="B65" s="96"/>
    </row>
    <row r="66">
      <c r="A66" s="96"/>
      <c r="B66" s="96"/>
    </row>
    <row r="67">
      <c r="A67" s="96"/>
      <c r="B67" s="96"/>
    </row>
    <row r="68">
      <c r="A68" s="96"/>
      <c r="B68" s="96"/>
    </row>
    <row r="69">
      <c r="A69" s="96"/>
      <c r="B69" s="96"/>
    </row>
    <row r="70">
      <c r="A70" s="96"/>
      <c r="B70" s="96"/>
    </row>
    <row r="71">
      <c r="A71" s="96"/>
      <c r="B71" s="96"/>
    </row>
    <row r="72">
      <c r="A72" s="96"/>
      <c r="B72" s="96"/>
    </row>
    <row r="73">
      <c r="A73" s="96"/>
      <c r="B73" s="96"/>
    </row>
    <row r="74">
      <c r="A74" s="96"/>
      <c r="B74" s="96"/>
    </row>
    <row r="75">
      <c r="A75" s="96"/>
      <c r="B75" s="96"/>
    </row>
    <row r="76">
      <c r="A76" s="96"/>
      <c r="B76" s="96"/>
    </row>
    <row r="77">
      <c r="A77" s="96"/>
      <c r="B77" s="96"/>
    </row>
    <row r="78">
      <c r="A78" s="96"/>
      <c r="B78" s="96"/>
    </row>
    <row r="79">
      <c r="A79" s="96"/>
      <c r="B79" s="96"/>
    </row>
    <row r="80">
      <c r="A80" s="96"/>
      <c r="B80" s="96"/>
    </row>
    <row r="81">
      <c r="A81" s="96"/>
      <c r="B81" s="96"/>
    </row>
    <row r="82">
      <c r="A82" s="96"/>
      <c r="B82" s="96"/>
    </row>
    <row r="83">
      <c r="A83" s="96"/>
      <c r="B83" s="96"/>
    </row>
    <row r="84">
      <c r="A84" s="96"/>
      <c r="B84" s="96"/>
    </row>
    <row r="85">
      <c r="A85" s="96"/>
      <c r="B85" s="96"/>
    </row>
    <row r="86">
      <c r="A86" s="96"/>
      <c r="B86" s="96"/>
    </row>
    <row r="87">
      <c r="A87" s="96"/>
      <c r="B87" s="96"/>
    </row>
    <row r="88">
      <c r="A88" s="96"/>
      <c r="B88" s="96"/>
    </row>
    <row r="89">
      <c r="A89" s="96"/>
      <c r="B89" s="96"/>
    </row>
    <row r="90">
      <c r="A90" s="96"/>
      <c r="B90" s="96"/>
    </row>
    <row r="91">
      <c r="A91" s="96"/>
      <c r="B91" s="96"/>
    </row>
    <row r="92">
      <c r="A92" s="96"/>
      <c r="B92" s="96"/>
    </row>
    <row r="93">
      <c r="A93" s="96"/>
      <c r="B93" s="96"/>
    </row>
    <row r="94">
      <c r="A94" s="96"/>
      <c r="B94" s="96"/>
    </row>
    <row r="95">
      <c r="A95" s="96"/>
      <c r="B95" s="96"/>
    </row>
    <row r="96">
      <c r="A96" s="96"/>
      <c r="B96" s="96"/>
    </row>
    <row r="97">
      <c r="A97" s="96"/>
      <c r="B97" s="96"/>
    </row>
    <row r="98">
      <c r="A98" s="96"/>
      <c r="B98" s="96"/>
    </row>
    <row r="99">
      <c r="A99" s="96"/>
      <c r="B99" s="96"/>
    </row>
    <row r="100">
      <c r="A100" s="96"/>
      <c r="B100" s="96"/>
    </row>
    <row r="101">
      <c r="A101" s="96"/>
      <c r="B101" s="96"/>
    </row>
    <row r="102">
      <c r="A102" s="96"/>
      <c r="B102" s="96"/>
    </row>
    <row r="103">
      <c r="A103" s="96"/>
      <c r="B103" s="96"/>
    </row>
    <row r="104">
      <c r="A104" s="96"/>
      <c r="B104" s="96"/>
    </row>
    <row r="105">
      <c r="A105" s="96"/>
      <c r="B105" s="96"/>
    </row>
    <row r="106">
      <c r="A106" s="96"/>
      <c r="B106" s="96"/>
    </row>
    <row r="107">
      <c r="A107" s="96"/>
      <c r="B107" s="96"/>
    </row>
    <row r="108">
      <c r="A108" s="96"/>
      <c r="B108" s="96"/>
    </row>
    <row r="109">
      <c r="A109" s="96"/>
      <c r="B109" s="96"/>
    </row>
    <row r="110">
      <c r="A110" s="96"/>
      <c r="B110" s="96"/>
    </row>
    <row r="111">
      <c r="A111" s="96"/>
      <c r="B111" s="96"/>
    </row>
    <row r="112">
      <c r="A112" s="96"/>
      <c r="B112" s="96"/>
    </row>
    <row r="113">
      <c r="A113" s="96"/>
      <c r="B113" s="96"/>
    </row>
    <row r="114">
      <c r="A114" s="96"/>
      <c r="B114" s="96"/>
    </row>
    <row r="115">
      <c r="A115" s="96"/>
      <c r="B115" s="96"/>
    </row>
    <row r="116">
      <c r="A116" s="96"/>
      <c r="B116" s="96"/>
    </row>
    <row r="117">
      <c r="A117" s="96"/>
      <c r="B117" s="96"/>
    </row>
    <row r="118">
      <c r="A118" s="96"/>
      <c r="B118" s="96"/>
    </row>
    <row r="119">
      <c r="A119" s="96"/>
      <c r="B119" s="96"/>
    </row>
    <row r="120">
      <c r="A120" s="96"/>
      <c r="B120" s="96"/>
    </row>
    <row r="121">
      <c r="A121" s="96"/>
      <c r="B121" s="96"/>
    </row>
    <row r="122">
      <c r="A122" s="96"/>
      <c r="B122" s="96"/>
    </row>
    <row r="123">
      <c r="A123" s="96"/>
      <c r="B123" s="96"/>
    </row>
    <row r="124">
      <c r="A124" s="96"/>
      <c r="B124" s="96"/>
    </row>
    <row r="125">
      <c r="A125" s="96"/>
      <c r="B125" s="96"/>
    </row>
    <row r="126">
      <c r="A126" s="96"/>
      <c r="B126" s="96"/>
    </row>
    <row r="127">
      <c r="A127" s="96"/>
      <c r="B127" s="96"/>
    </row>
    <row r="128">
      <c r="A128" s="96"/>
      <c r="B128" s="96"/>
    </row>
    <row r="129">
      <c r="A129" s="96"/>
      <c r="B129" s="96"/>
    </row>
    <row r="130">
      <c r="A130" s="96"/>
      <c r="B130" s="96"/>
    </row>
    <row r="131">
      <c r="A131" s="96"/>
      <c r="B131" s="96"/>
    </row>
    <row r="132">
      <c r="A132" s="96"/>
      <c r="B132" s="96"/>
    </row>
    <row r="133">
      <c r="A133" s="96"/>
      <c r="B133" s="96"/>
    </row>
    <row r="134">
      <c r="A134" s="96"/>
      <c r="B134" s="96"/>
    </row>
    <row r="135">
      <c r="A135" s="96"/>
      <c r="B135" s="96"/>
    </row>
    <row r="136">
      <c r="A136" s="96"/>
      <c r="B136" s="96"/>
    </row>
    <row r="137">
      <c r="A137" s="96"/>
      <c r="B137" s="96"/>
    </row>
    <row r="138">
      <c r="A138" s="96"/>
      <c r="B138" s="96"/>
    </row>
    <row r="139">
      <c r="A139" s="96"/>
      <c r="B139" s="96"/>
    </row>
    <row r="140">
      <c r="A140" s="96"/>
      <c r="B140" s="96"/>
    </row>
    <row r="141">
      <c r="A141" s="96"/>
      <c r="B141" s="96"/>
    </row>
    <row r="142">
      <c r="A142" s="96"/>
      <c r="B142" s="96"/>
    </row>
    <row r="143">
      <c r="A143" s="96"/>
      <c r="B143" s="96"/>
    </row>
    <row r="144">
      <c r="A144" s="96"/>
      <c r="B144" s="96"/>
    </row>
    <row r="145">
      <c r="A145" s="96"/>
      <c r="B145" s="96"/>
    </row>
    <row r="146">
      <c r="A146" s="96"/>
      <c r="B146" s="96"/>
    </row>
    <row r="147">
      <c r="A147" s="96"/>
      <c r="B147" s="96"/>
    </row>
    <row r="148">
      <c r="A148" s="96"/>
      <c r="B148" s="96"/>
    </row>
    <row r="149">
      <c r="A149" s="96"/>
      <c r="B149" s="96"/>
    </row>
    <row r="150">
      <c r="A150" s="96"/>
      <c r="B150" s="96"/>
    </row>
    <row r="151">
      <c r="A151" s="96"/>
      <c r="B151" s="96"/>
    </row>
    <row r="152">
      <c r="A152" s="96"/>
      <c r="B152" s="96"/>
    </row>
    <row r="153">
      <c r="A153" s="96"/>
      <c r="B153" s="96"/>
    </row>
    <row r="154">
      <c r="A154" s="96"/>
      <c r="B154" s="96"/>
    </row>
    <row r="155">
      <c r="A155" s="96"/>
      <c r="B155" s="96"/>
    </row>
    <row r="156">
      <c r="A156" s="96"/>
      <c r="B156" s="96"/>
    </row>
    <row r="157">
      <c r="A157" s="96"/>
      <c r="B157" s="96"/>
    </row>
    <row r="158">
      <c r="A158" s="96"/>
      <c r="B158" s="96"/>
    </row>
    <row r="159">
      <c r="A159" s="96"/>
      <c r="B159" s="96"/>
    </row>
    <row r="160">
      <c r="A160" s="96"/>
      <c r="B160" s="96"/>
    </row>
    <row r="161">
      <c r="A161" s="96"/>
      <c r="B161" s="96"/>
    </row>
    <row r="162">
      <c r="A162" s="96"/>
      <c r="B162" s="96"/>
    </row>
    <row r="163">
      <c r="A163" s="96"/>
      <c r="B163" s="96"/>
    </row>
    <row r="164">
      <c r="A164" s="96"/>
      <c r="B164" s="96"/>
    </row>
    <row r="165">
      <c r="A165" s="96"/>
      <c r="B165" s="96"/>
    </row>
    <row r="166">
      <c r="A166" s="96"/>
      <c r="B166" s="96"/>
    </row>
    <row r="167">
      <c r="A167" s="96"/>
      <c r="B167" s="96"/>
    </row>
    <row r="168">
      <c r="A168" s="96"/>
      <c r="B168" s="96"/>
    </row>
    <row r="169">
      <c r="A169" s="96"/>
      <c r="B169" s="96"/>
    </row>
    <row r="170">
      <c r="A170" s="96"/>
      <c r="B170" s="96"/>
    </row>
    <row r="171">
      <c r="A171" s="96"/>
      <c r="B171" s="96"/>
    </row>
    <row r="172">
      <c r="A172" s="96"/>
      <c r="B172" s="96"/>
    </row>
    <row r="173">
      <c r="A173" s="96"/>
      <c r="B173" s="96"/>
    </row>
    <row r="174">
      <c r="A174" s="96"/>
      <c r="B174" s="96"/>
    </row>
    <row r="175">
      <c r="A175" s="96"/>
      <c r="B175" s="96"/>
    </row>
    <row r="176">
      <c r="A176" s="96"/>
      <c r="B176" s="96"/>
    </row>
    <row r="177">
      <c r="A177" s="96"/>
      <c r="B177" s="96"/>
    </row>
    <row r="178">
      <c r="A178" s="96"/>
      <c r="B178" s="96"/>
    </row>
    <row r="179">
      <c r="A179" s="96"/>
      <c r="B179" s="96"/>
    </row>
    <row r="180">
      <c r="A180" s="96"/>
      <c r="B180" s="96"/>
    </row>
    <row r="181">
      <c r="A181" s="96"/>
      <c r="B181" s="96"/>
    </row>
    <row r="182">
      <c r="A182" s="96"/>
      <c r="B182" s="96"/>
    </row>
    <row r="183">
      <c r="A183" s="96"/>
      <c r="B183" s="96"/>
    </row>
    <row r="184">
      <c r="A184" s="96"/>
      <c r="B184" s="96"/>
    </row>
    <row r="185">
      <c r="A185" s="96"/>
      <c r="B185" s="96"/>
    </row>
    <row r="186">
      <c r="A186" s="96"/>
      <c r="B186" s="96"/>
    </row>
    <row r="187">
      <c r="A187" s="96"/>
      <c r="B187" s="96"/>
    </row>
    <row r="188">
      <c r="A188" s="96"/>
      <c r="B188" s="96"/>
    </row>
    <row r="189">
      <c r="A189" s="96"/>
      <c r="B189" s="96"/>
    </row>
    <row r="190">
      <c r="A190" s="96"/>
      <c r="B190" s="96"/>
    </row>
    <row r="191">
      <c r="A191" s="96"/>
      <c r="B191" s="96"/>
    </row>
    <row r="192">
      <c r="A192" s="96"/>
      <c r="B192" s="96"/>
    </row>
    <row r="193">
      <c r="A193" s="96"/>
      <c r="B193" s="96"/>
    </row>
    <row r="194">
      <c r="A194" s="96"/>
      <c r="B194" s="96"/>
    </row>
    <row r="195">
      <c r="A195" s="96"/>
      <c r="B195" s="96"/>
    </row>
    <row r="196">
      <c r="A196" s="96"/>
      <c r="B196" s="96"/>
    </row>
    <row r="197">
      <c r="A197" s="96"/>
      <c r="B197" s="96"/>
    </row>
    <row r="198">
      <c r="A198" s="96"/>
      <c r="B198" s="96"/>
    </row>
    <row r="199">
      <c r="A199" s="96"/>
      <c r="B199" s="96"/>
    </row>
    <row r="200">
      <c r="A200" s="96"/>
      <c r="B200" s="96"/>
    </row>
    <row r="201">
      <c r="A201" s="96"/>
      <c r="B201" s="96"/>
    </row>
    <row r="202">
      <c r="A202" s="96"/>
      <c r="B202" s="96"/>
    </row>
    <row r="203">
      <c r="A203" s="96"/>
      <c r="B203" s="96"/>
    </row>
    <row r="204">
      <c r="A204" s="96"/>
      <c r="B204" s="96"/>
    </row>
    <row r="205">
      <c r="A205" s="96"/>
      <c r="B205" s="96"/>
    </row>
    <row r="206">
      <c r="A206" s="96"/>
      <c r="B206" s="96"/>
    </row>
    <row r="207">
      <c r="A207" s="96"/>
      <c r="B207" s="96"/>
    </row>
    <row r="208">
      <c r="A208" s="96"/>
      <c r="B208" s="96"/>
    </row>
    <row r="209">
      <c r="A209" s="96"/>
      <c r="B209" s="96"/>
    </row>
    <row r="210">
      <c r="A210" s="96"/>
      <c r="B210" s="96"/>
    </row>
    <row r="211">
      <c r="A211" s="96"/>
      <c r="B211" s="96"/>
    </row>
    <row r="212">
      <c r="A212" s="96"/>
      <c r="B212" s="96"/>
    </row>
    <row r="213">
      <c r="A213" s="96"/>
      <c r="B213" s="96"/>
    </row>
    <row r="214">
      <c r="A214" s="96"/>
      <c r="B214" s="96"/>
    </row>
    <row r="215">
      <c r="A215" s="96"/>
      <c r="B215" s="96"/>
    </row>
    <row r="216">
      <c r="A216" s="96"/>
      <c r="B216" s="96"/>
    </row>
    <row r="217">
      <c r="A217" s="96"/>
      <c r="B217" s="96"/>
    </row>
    <row r="218">
      <c r="A218" s="96"/>
      <c r="B218" s="96"/>
    </row>
    <row r="219">
      <c r="A219" s="96"/>
      <c r="B219" s="96"/>
    </row>
    <row r="220">
      <c r="A220" s="96"/>
      <c r="B220" s="96"/>
    </row>
    <row r="221">
      <c r="A221" s="96"/>
      <c r="B221" s="96"/>
    </row>
    <row r="222">
      <c r="A222" s="96"/>
      <c r="B222" s="96"/>
    </row>
    <row r="223">
      <c r="A223" s="96"/>
      <c r="B223" s="96"/>
    </row>
    <row r="224">
      <c r="A224" s="96"/>
      <c r="B224" s="96"/>
    </row>
    <row r="225">
      <c r="A225" s="96"/>
      <c r="B225" s="96"/>
    </row>
    <row r="226">
      <c r="A226" s="96"/>
      <c r="B226" s="96"/>
    </row>
    <row r="227">
      <c r="A227" s="96"/>
      <c r="B227" s="96"/>
    </row>
    <row r="228">
      <c r="A228" s="96"/>
      <c r="B228" s="96"/>
    </row>
    <row r="229">
      <c r="A229" s="96"/>
      <c r="B229" s="96"/>
    </row>
    <row r="230">
      <c r="A230" s="96"/>
      <c r="B230" s="96"/>
    </row>
    <row r="231">
      <c r="A231" s="96"/>
      <c r="B231" s="96"/>
    </row>
    <row r="232">
      <c r="A232" s="96"/>
      <c r="B232" s="96"/>
    </row>
    <row r="233">
      <c r="A233" s="96"/>
      <c r="B233" s="96"/>
    </row>
    <row r="234">
      <c r="A234" s="96"/>
      <c r="B234" s="96"/>
    </row>
    <row r="235">
      <c r="A235" s="96"/>
      <c r="B235" s="96"/>
    </row>
    <row r="236">
      <c r="A236" s="96"/>
      <c r="B236" s="96"/>
    </row>
    <row r="237">
      <c r="A237" s="96"/>
      <c r="B237" s="96"/>
    </row>
    <row r="238">
      <c r="A238" s="96"/>
      <c r="B238" s="96"/>
    </row>
    <row r="239">
      <c r="A239" s="96"/>
      <c r="B239" s="96"/>
    </row>
    <row r="240">
      <c r="A240" s="96"/>
      <c r="B240" s="96"/>
    </row>
    <row r="241">
      <c r="A241" s="96"/>
      <c r="B241" s="96"/>
    </row>
    <row r="242">
      <c r="A242" s="96"/>
      <c r="B242" s="96"/>
    </row>
    <row r="243">
      <c r="A243" s="96"/>
      <c r="B243" s="96"/>
    </row>
    <row r="244">
      <c r="A244" s="96"/>
      <c r="B244" s="96"/>
    </row>
    <row r="245">
      <c r="A245" s="96"/>
      <c r="B245" s="96"/>
    </row>
    <row r="246">
      <c r="A246" s="96"/>
      <c r="B246" s="96"/>
    </row>
    <row r="247">
      <c r="A247" s="96"/>
      <c r="B247" s="96"/>
    </row>
    <row r="248">
      <c r="A248" s="96"/>
      <c r="B248" s="96"/>
    </row>
    <row r="249">
      <c r="A249" s="96"/>
      <c r="B249" s="96"/>
    </row>
    <row r="250">
      <c r="A250" s="96"/>
      <c r="B250" s="96"/>
    </row>
    <row r="251">
      <c r="A251" s="96"/>
      <c r="B251" s="96"/>
    </row>
    <row r="252">
      <c r="A252" s="96"/>
      <c r="B252" s="96"/>
    </row>
    <row r="253">
      <c r="A253" s="96"/>
      <c r="B253" s="96"/>
    </row>
    <row r="254">
      <c r="A254" s="96"/>
      <c r="B254" s="96"/>
    </row>
    <row r="255">
      <c r="A255" s="96"/>
      <c r="B255" s="96"/>
    </row>
    <row r="256">
      <c r="A256" s="96"/>
      <c r="B256" s="96"/>
    </row>
    <row r="257">
      <c r="A257" s="96"/>
      <c r="B257" s="96"/>
    </row>
    <row r="258">
      <c r="A258" s="96"/>
      <c r="B258" s="96"/>
    </row>
    <row r="259">
      <c r="A259" s="96"/>
      <c r="B259" s="96"/>
    </row>
    <row r="260">
      <c r="A260" s="96"/>
      <c r="B260" s="96"/>
    </row>
    <row r="261">
      <c r="A261" s="96"/>
      <c r="B261" s="96"/>
    </row>
    <row r="262">
      <c r="A262" s="96"/>
      <c r="B262" s="96"/>
    </row>
    <row r="263">
      <c r="A263" s="96"/>
      <c r="B263" s="96"/>
    </row>
    <row r="264">
      <c r="A264" s="96"/>
      <c r="B264" s="96"/>
    </row>
    <row r="265">
      <c r="A265" s="96"/>
      <c r="B265" s="96"/>
    </row>
    <row r="266">
      <c r="A266" s="96"/>
      <c r="B266" s="96"/>
    </row>
    <row r="267">
      <c r="A267" s="96"/>
      <c r="B267" s="96"/>
    </row>
    <row r="268">
      <c r="A268" s="96"/>
      <c r="B268" s="96"/>
    </row>
    <row r="269">
      <c r="A269" s="96"/>
      <c r="B269" s="96"/>
    </row>
    <row r="270">
      <c r="A270" s="96"/>
      <c r="B270" s="96"/>
    </row>
    <row r="271">
      <c r="A271" s="96"/>
      <c r="B271" s="96"/>
    </row>
    <row r="272">
      <c r="A272" s="96"/>
      <c r="B272" s="96"/>
    </row>
    <row r="273">
      <c r="A273" s="96"/>
      <c r="B273" s="96"/>
    </row>
    <row r="274">
      <c r="A274" s="96"/>
      <c r="B274" s="96"/>
    </row>
    <row r="275">
      <c r="A275" s="96"/>
      <c r="B275" s="96"/>
    </row>
    <row r="276">
      <c r="A276" s="96"/>
      <c r="B276" s="96"/>
    </row>
    <row r="277">
      <c r="A277" s="96"/>
      <c r="B277" s="96"/>
    </row>
    <row r="278">
      <c r="A278" s="96"/>
      <c r="B278" s="96"/>
    </row>
    <row r="279">
      <c r="A279" s="96"/>
      <c r="B279" s="96"/>
    </row>
    <row r="280">
      <c r="A280" s="96"/>
      <c r="B280" s="96"/>
    </row>
    <row r="281">
      <c r="A281" s="96"/>
      <c r="B281" s="96"/>
    </row>
    <row r="282">
      <c r="A282" s="96"/>
      <c r="B282" s="96"/>
    </row>
    <row r="283">
      <c r="A283" s="96"/>
      <c r="B283" s="96"/>
    </row>
    <row r="284">
      <c r="A284" s="96"/>
      <c r="B284" s="96"/>
    </row>
    <row r="285">
      <c r="A285" s="96"/>
      <c r="B285" s="96"/>
    </row>
    <row r="286">
      <c r="A286" s="96"/>
      <c r="B286" s="96"/>
    </row>
    <row r="287">
      <c r="A287" s="96"/>
      <c r="B287" s="96"/>
    </row>
    <row r="288">
      <c r="A288" s="96"/>
      <c r="B288" s="96"/>
    </row>
    <row r="289">
      <c r="A289" s="96"/>
      <c r="B289" s="96"/>
    </row>
    <row r="290">
      <c r="A290" s="96"/>
      <c r="B290" s="96"/>
    </row>
    <row r="291">
      <c r="A291" s="96"/>
      <c r="B291" s="96"/>
    </row>
    <row r="292">
      <c r="A292" s="96"/>
      <c r="B292" s="96"/>
    </row>
    <row r="293">
      <c r="A293" s="96"/>
      <c r="B293" s="96"/>
    </row>
    <row r="294">
      <c r="A294" s="96"/>
      <c r="B294" s="96"/>
    </row>
    <row r="295">
      <c r="A295" s="96"/>
      <c r="B295" s="96"/>
    </row>
    <row r="296">
      <c r="A296" s="96"/>
      <c r="B296" s="96"/>
    </row>
    <row r="297">
      <c r="A297" s="96"/>
      <c r="B297" s="96"/>
    </row>
    <row r="298">
      <c r="A298" s="96"/>
      <c r="B298" s="96"/>
    </row>
    <row r="299">
      <c r="A299" s="96"/>
      <c r="B299" s="96"/>
    </row>
    <row r="300">
      <c r="A300" s="96"/>
      <c r="B300" s="96"/>
    </row>
    <row r="301">
      <c r="A301" s="96"/>
      <c r="B301" s="96"/>
    </row>
    <row r="302">
      <c r="A302" s="96"/>
      <c r="B302" s="96"/>
    </row>
    <row r="303">
      <c r="A303" s="96"/>
      <c r="B303" s="96"/>
    </row>
    <row r="304">
      <c r="A304" s="96"/>
      <c r="B304" s="96"/>
    </row>
    <row r="305">
      <c r="A305" s="96"/>
      <c r="B305" s="96"/>
    </row>
    <row r="306">
      <c r="A306" s="96"/>
      <c r="B306" s="96"/>
    </row>
    <row r="307">
      <c r="A307" s="96"/>
      <c r="B307" s="96"/>
    </row>
    <row r="308">
      <c r="A308" s="96"/>
      <c r="B308" s="96"/>
    </row>
    <row r="309">
      <c r="A309" s="96"/>
      <c r="B309" s="96"/>
    </row>
    <row r="310">
      <c r="A310" s="96"/>
      <c r="B310" s="96"/>
    </row>
    <row r="311">
      <c r="A311" s="96"/>
      <c r="B311" s="96"/>
    </row>
    <row r="312">
      <c r="A312" s="96"/>
      <c r="B312" s="96"/>
    </row>
    <row r="313">
      <c r="A313" s="96"/>
      <c r="B313" s="96"/>
    </row>
    <row r="314">
      <c r="A314" s="96"/>
      <c r="B314" s="96"/>
    </row>
    <row r="315">
      <c r="A315" s="96"/>
      <c r="B315" s="96"/>
    </row>
    <row r="316">
      <c r="A316" s="96"/>
      <c r="B316" s="96"/>
    </row>
    <row r="317">
      <c r="A317" s="96"/>
      <c r="B317" s="96"/>
    </row>
    <row r="318">
      <c r="A318" s="96"/>
      <c r="B318" s="96"/>
    </row>
    <row r="319">
      <c r="A319" s="96"/>
      <c r="B319" s="96"/>
    </row>
    <row r="320">
      <c r="A320" s="96"/>
      <c r="B320" s="96"/>
    </row>
    <row r="321">
      <c r="A321" s="96"/>
      <c r="B321" s="96"/>
    </row>
    <row r="322">
      <c r="A322" s="96"/>
      <c r="B322" s="96"/>
    </row>
    <row r="323">
      <c r="A323" s="96"/>
      <c r="B323" s="96"/>
    </row>
    <row r="324">
      <c r="A324" s="96"/>
      <c r="B324" s="96"/>
    </row>
    <row r="325">
      <c r="A325" s="96"/>
      <c r="B325" s="96"/>
    </row>
    <row r="326">
      <c r="A326" s="96"/>
      <c r="B326" s="96"/>
    </row>
    <row r="327">
      <c r="A327" s="96"/>
      <c r="B327" s="96"/>
    </row>
    <row r="328">
      <c r="A328" s="96"/>
      <c r="B328" s="96"/>
    </row>
    <row r="329">
      <c r="A329" s="96"/>
      <c r="B329" s="96"/>
    </row>
    <row r="330">
      <c r="A330" s="96"/>
      <c r="B330" s="96"/>
    </row>
    <row r="331">
      <c r="A331" s="96"/>
      <c r="B331" s="96"/>
    </row>
    <row r="332">
      <c r="A332" s="96"/>
      <c r="B332" s="96"/>
    </row>
    <row r="333">
      <c r="A333" s="96"/>
      <c r="B333" s="96"/>
    </row>
    <row r="334">
      <c r="A334" s="96"/>
      <c r="B334" s="96"/>
    </row>
    <row r="335">
      <c r="A335" s="96"/>
      <c r="B335" s="96"/>
    </row>
    <row r="336">
      <c r="A336" s="96"/>
      <c r="B336" s="96"/>
    </row>
    <row r="337">
      <c r="A337" s="96"/>
      <c r="B337" s="96"/>
    </row>
    <row r="338">
      <c r="A338" s="96"/>
      <c r="B338" s="96"/>
    </row>
    <row r="339">
      <c r="A339" s="96"/>
      <c r="B339" s="96"/>
    </row>
    <row r="340">
      <c r="A340" s="96"/>
      <c r="B340" s="96"/>
    </row>
    <row r="341">
      <c r="A341" s="96"/>
      <c r="B341" s="96"/>
    </row>
    <row r="342">
      <c r="A342" s="96"/>
      <c r="B342" s="96"/>
    </row>
    <row r="343">
      <c r="A343" s="96"/>
      <c r="B343" s="96"/>
    </row>
    <row r="344">
      <c r="A344" s="96"/>
      <c r="B344" s="96"/>
    </row>
    <row r="345">
      <c r="A345" s="96"/>
      <c r="B345" s="96"/>
    </row>
    <row r="346">
      <c r="A346" s="96"/>
      <c r="B346" s="96"/>
    </row>
    <row r="347">
      <c r="A347" s="96"/>
      <c r="B347" s="96"/>
    </row>
    <row r="348">
      <c r="A348" s="96"/>
      <c r="B348" s="96"/>
    </row>
    <row r="349">
      <c r="A349" s="96"/>
      <c r="B349" s="96"/>
    </row>
    <row r="350">
      <c r="A350" s="96"/>
      <c r="B350" s="96"/>
    </row>
    <row r="351">
      <c r="A351" s="96"/>
      <c r="B351" s="96"/>
    </row>
    <row r="352">
      <c r="A352" s="96"/>
      <c r="B352" s="96"/>
    </row>
    <row r="353">
      <c r="A353" s="96"/>
      <c r="B353" s="96"/>
    </row>
    <row r="354">
      <c r="A354" s="96"/>
      <c r="B354" s="96"/>
    </row>
    <row r="355">
      <c r="A355" s="96"/>
      <c r="B355" s="96"/>
    </row>
    <row r="356">
      <c r="A356" s="96"/>
      <c r="B356" s="96"/>
    </row>
    <row r="357">
      <c r="A357" s="96"/>
      <c r="B357" s="96"/>
    </row>
    <row r="358">
      <c r="A358" s="96"/>
      <c r="B358" s="96"/>
    </row>
    <row r="359">
      <c r="A359" s="96"/>
      <c r="B359" s="96"/>
    </row>
    <row r="360">
      <c r="A360" s="96"/>
      <c r="B360" s="96"/>
    </row>
    <row r="361">
      <c r="A361" s="96"/>
      <c r="B361" s="96"/>
    </row>
    <row r="362">
      <c r="A362" s="96"/>
      <c r="B362" s="96"/>
    </row>
    <row r="363">
      <c r="A363" s="96"/>
      <c r="B363" s="96"/>
    </row>
    <row r="364">
      <c r="A364" s="96"/>
      <c r="B364" s="96"/>
    </row>
    <row r="365">
      <c r="A365" s="96"/>
      <c r="B365" s="96"/>
    </row>
    <row r="366">
      <c r="A366" s="96"/>
      <c r="B366" s="96"/>
    </row>
    <row r="367">
      <c r="A367" s="96"/>
      <c r="B367" s="96"/>
    </row>
    <row r="368">
      <c r="A368" s="96"/>
      <c r="B368" s="96"/>
    </row>
    <row r="369">
      <c r="A369" s="96"/>
      <c r="B369" s="96"/>
    </row>
    <row r="370">
      <c r="A370" s="96"/>
      <c r="B370" s="96"/>
    </row>
    <row r="371">
      <c r="A371" s="96"/>
      <c r="B371" s="96"/>
    </row>
    <row r="372">
      <c r="A372" s="96"/>
      <c r="B372" s="96"/>
    </row>
    <row r="373">
      <c r="A373" s="96"/>
      <c r="B373" s="96"/>
    </row>
    <row r="374">
      <c r="A374" s="96"/>
      <c r="B374" s="96"/>
    </row>
    <row r="375">
      <c r="A375" s="96"/>
      <c r="B375" s="96"/>
    </row>
    <row r="376">
      <c r="A376" s="96"/>
      <c r="B376" s="96"/>
    </row>
    <row r="377">
      <c r="A377" s="96"/>
      <c r="B377" s="96"/>
    </row>
    <row r="378">
      <c r="A378" s="96"/>
      <c r="B378" s="96"/>
    </row>
    <row r="379">
      <c r="A379" s="96"/>
      <c r="B379" s="96"/>
    </row>
    <row r="380">
      <c r="A380" s="96"/>
      <c r="B380" s="96"/>
    </row>
    <row r="381">
      <c r="A381" s="96"/>
      <c r="B381" s="96"/>
    </row>
    <row r="382">
      <c r="A382" s="96"/>
      <c r="B382" s="96"/>
    </row>
    <row r="383">
      <c r="A383" s="96"/>
      <c r="B383" s="96"/>
    </row>
    <row r="384">
      <c r="A384" s="96"/>
      <c r="B384" s="96"/>
    </row>
    <row r="385">
      <c r="A385" s="96"/>
      <c r="B385" s="96"/>
    </row>
    <row r="386">
      <c r="A386" s="96"/>
      <c r="B386" s="96"/>
    </row>
    <row r="387">
      <c r="A387" s="96"/>
      <c r="B387" s="96"/>
    </row>
    <row r="388">
      <c r="A388" s="96"/>
      <c r="B388" s="96"/>
    </row>
    <row r="389">
      <c r="A389" s="96"/>
      <c r="B389" s="96"/>
    </row>
    <row r="390">
      <c r="A390" s="96"/>
      <c r="B390" s="96"/>
    </row>
    <row r="391">
      <c r="A391" s="96"/>
      <c r="B391" s="96"/>
    </row>
    <row r="392">
      <c r="A392" s="96"/>
      <c r="B392" s="96"/>
    </row>
    <row r="393">
      <c r="A393" s="96"/>
      <c r="B393" s="96"/>
    </row>
    <row r="394">
      <c r="A394" s="96"/>
      <c r="B394" s="96"/>
    </row>
    <row r="395">
      <c r="A395" s="96"/>
      <c r="B395" s="96"/>
    </row>
    <row r="396">
      <c r="A396" s="96"/>
      <c r="B396" s="96"/>
    </row>
    <row r="397">
      <c r="A397" s="96"/>
      <c r="B397" s="96"/>
    </row>
    <row r="398">
      <c r="A398" s="96"/>
      <c r="B398" s="96"/>
    </row>
    <row r="399">
      <c r="A399" s="96"/>
      <c r="B399" s="96"/>
    </row>
    <row r="400">
      <c r="A400" s="96"/>
      <c r="B400" s="96"/>
    </row>
    <row r="401">
      <c r="A401" s="96"/>
      <c r="B401" s="96"/>
    </row>
    <row r="402">
      <c r="A402" s="96"/>
      <c r="B402" s="96"/>
    </row>
    <row r="403">
      <c r="A403" s="96"/>
      <c r="B403" s="96"/>
    </row>
    <row r="404">
      <c r="A404" s="96"/>
      <c r="B404" s="96"/>
    </row>
    <row r="405">
      <c r="A405" s="96"/>
      <c r="B405" s="96"/>
    </row>
    <row r="406">
      <c r="A406" s="96"/>
      <c r="B406" s="96"/>
    </row>
    <row r="407">
      <c r="A407" s="96"/>
      <c r="B407" s="96"/>
    </row>
    <row r="408">
      <c r="A408" s="96"/>
      <c r="B408" s="96"/>
    </row>
    <row r="409">
      <c r="A409" s="96"/>
      <c r="B409" s="96"/>
    </row>
    <row r="410">
      <c r="A410" s="96"/>
      <c r="B410" s="96"/>
    </row>
    <row r="411">
      <c r="A411" s="96"/>
      <c r="B411" s="96"/>
    </row>
    <row r="412">
      <c r="A412" s="96"/>
      <c r="B412" s="96"/>
    </row>
    <row r="413">
      <c r="A413" s="96"/>
      <c r="B413" s="96"/>
    </row>
    <row r="414">
      <c r="A414" s="96"/>
      <c r="B414" s="96"/>
    </row>
    <row r="415">
      <c r="A415" s="96"/>
      <c r="B415" s="96"/>
    </row>
    <row r="416">
      <c r="A416" s="96"/>
      <c r="B416" s="96"/>
    </row>
    <row r="417">
      <c r="A417" s="96"/>
      <c r="B417" s="96"/>
    </row>
    <row r="418">
      <c r="A418" s="96"/>
      <c r="B418" s="96"/>
    </row>
    <row r="419">
      <c r="A419" s="96"/>
      <c r="B419" s="96"/>
    </row>
    <row r="420">
      <c r="A420" s="96"/>
      <c r="B420" s="96"/>
    </row>
    <row r="421">
      <c r="A421" s="96"/>
      <c r="B421" s="96"/>
    </row>
    <row r="422">
      <c r="A422" s="96"/>
      <c r="B422" s="96"/>
    </row>
    <row r="423">
      <c r="A423" s="96"/>
      <c r="B423" s="96"/>
    </row>
    <row r="424">
      <c r="A424" s="96"/>
      <c r="B424" s="96"/>
    </row>
    <row r="425">
      <c r="A425" s="96"/>
      <c r="B425" s="96"/>
    </row>
    <row r="426">
      <c r="A426" s="96"/>
      <c r="B426" s="96"/>
    </row>
    <row r="427">
      <c r="A427" s="96"/>
      <c r="B427" s="96"/>
    </row>
    <row r="428">
      <c r="A428" s="96"/>
      <c r="B428" s="96"/>
    </row>
    <row r="429">
      <c r="A429" s="96"/>
      <c r="B429" s="96"/>
    </row>
    <row r="430">
      <c r="A430" s="96"/>
      <c r="B430" s="96"/>
    </row>
    <row r="431">
      <c r="A431" s="96"/>
      <c r="B431" s="96"/>
    </row>
    <row r="432">
      <c r="A432" s="96"/>
      <c r="B432" s="96"/>
    </row>
    <row r="433">
      <c r="A433" s="96"/>
      <c r="B433" s="96"/>
    </row>
    <row r="434">
      <c r="A434" s="96"/>
      <c r="B434" s="96"/>
    </row>
    <row r="435">
      <c r="A435" s="96"/>
      <c r="B435" s="96"/>
    </row>
    <row r="436">
      <c r="A436" s="96"/>
      <c r="B436" s="96"/>
    </row>
    <row r="437">
      <c r="A437" s="96"/>
      <c r="B437" s="96"/>
    </row>
    <row r="438">
      <c r="A438" s="96"/>
      <c r="B438" s="96"/>
    </row>
    <row r="439">
      <c r="A439" s="96"/>
      <c r="B439" s="96"/>
    </row>
    <row r="440">
      <c r="A440" s="96"/>
      <c r="B440" s="96"/>
    </row>
    <row r="441">
      <c r="A441" s="96"/>
      <c r="B441" s="96"/>
    </row>
    <row r="442">
      <c r="A442" s="96"/>
      <c r="B442" s="96"/>
    </row>
    <row r="443">
      <c r="A443" s="96"/>
      <c r="B443" s="96"/>
    </row>
    <row r="444">
      <c r="A444" s="96"/>
      <c r="B444" s="96"/>
    </row>
    <row r="445">
      <c r="A445" s="96"/>
      <c r="B445" s="96"/>
    </row>
    <row r="446">
      <c r="A446" s="96"/>
      <c r="B446" s="96"/>
    </row>
    <row r="447">
      <c r="A447" s="96"/>
      <c r="B447" s="96"/>
    </row>
    <row r="448">
      <c r="A448" s="96"/>
      <c r="B448" s="96"/>
    </row>
    <row r="449">
      <c r="A449" s="96"/>
      <c r="B449" s="96"/>
    </row>
    <row r="450">
      <c r="A450" s="96"/>
      <c r="B450" s="96"/>
    </row>
    <row r="451">
      <c r="A451" s="96"/>
      <c r="B451" s="96"/>
    </row>
    <row r="452">
      <c r="A452" s="96"/>
      <c r="B452" s="96"/>
    </row>
    <row r="453">
      <c r="A453" s="96"/>
      <c r="B453" s="96"/>
    </row>
    <row r="454">
      <c r="A454" s="96"/>
      <c r="B454" s="96"/>
    </row>
    <row r="455">
      <c r="A455" s="96"/>
      <c r="B455" s="96"/>
    </row>
    <row r="456">
      <c r="A456" s="96"/>
      <c r="B456" s="96"/>
    </row>
    <row r="457">
      <c r="A457" s="96"/>
      <c r="B457" s="96"/>
    </row>
    <row r="458">
      <c r="A458" s="96"/>
      <c r="B458" s="96"/>
    </row>
    <row r="459">
      <c r="A459" s="96"/>
      <c r="B459" s="96"/>
    </row>
    <row r="460">
      <c r="A460" s="96"/>
      <c r="B460" s="96"/>
    </row>
    <row r="461">
      <c r="A461" s="96"/>
      <c r="B461" s="96"/>
    </row>
    <row r="462">
      <c r="A462" s="96"/>
      <c r="B462" s="96"/>
    </row>
    <row r="463">
      <c r="A463" s="96"/>
      <c r="B463" s="96"/>
    </row>
    <row r="464">
      <c r="A464" s="96"/>
      <c r="B464" s="96"/>
    </row>
    <row r="465">
      <c r="A465" s="96"/>
      <c r="B465" s="96"/>
    </row>
    <row r="466">
      <c r="A466" s="96"/>
      <c r="B466" s="96"/>
    </row>
    <row r="467">
      <c r="A467" s="96"/>
      <c r="B467" s="96"/>
    </row>
    <row r="468">
      <c r="A468" s="96"/>
      <c r="B468" s="96"/>
    </row>
    <row r="469">
      <c r="A469" s="96"/>
      <c r="B469" s="96"/>
    </row>
    <row r="470">
      <c r="A470" s="96"/>
      <c r="B470" s="96"/>
    </row>
    <row r="471">
      <c r="A471" s="96"/>
      <c r="B471" s="96"/>
    </row>
    <row r="472">
      <c r="A472" s="96"/>
      <c r="B472" s="96"/>
    </row>
    <row r="473">
      <c r="A473" s="96"/>
      <c r="B473" s="96"/>
    </row>
    <row r="474">
      <c r="A474" s="96"/>
      <c r="B474" s="96"/>
    </row>
    <row r="475">
      <c r="A475" s="96"/>
      <c r="B475" s="96"/>
    </row>
    <row r="476">
      <c r="A476" s="96"/>
      <c r="B476" s="96"/>
    </row>
    <row r="477">
      <c r="A477" s="96"/>
      <c r="B477" s="96"/>
    </row>
    <row r="478">
      <c r="A478" s="96"/>
      <c r="B478" s="96"/>
    </row>
    <row r="479">
      <c r="A479" s="96"/>
      <c r="B479" s="96"/>
    </row>
    <row r="480">
      <c r="A480" s="96"/>
      <c r="B480" s="96"/>
    </row>
    <row r="481">
      <c r="A481" s="96"/>
      <c r="B481" s="96"/>
    </row>
    <row r="482">
      <c r="A482" s="96"/>
      <c r="B482" s="96"/>
    </row>
    <row r="483">
      <c r="A483" s="96"/>
      <c r="B483" s="96"/>
    </row>
    <row r="484">
      <c r="A484" s="96"/>
      <c r="B484" s="96"/>
    </row>
    <row r="485">
      <c r="A485" s="96"/>
      <c r="B485" s="96"/>
    </row>
    <row r="486">
      <c r="A486" s="96"/>
      <c r="B486" s="96"/>
    </row>
    <row r="487">
      <c r="A487" s="96"/>
      <c r="B487" s="96"/>
    </row>
    <row r="488">
      <c r="A488" s="96"/>
      <c r="B488" s="96"/>
    </row>
    <row r="489">
      <c r="A489" s="96"/>
      <c r="B489" s="96"/>
    </row>
    <row r="490">
      <c r="A490" s="96"/>
      <c r="B490" s="96"/>
    </row>
    <row r="491">
      <c r="A491" s="96"/>
      <c r="B491" s="96"/>
    </row>
    <row r="492">
      <c r="A492" s="96"/>
      <c r="B492" s="96"/>
    </row>
    <row r="493">
      <c r="A493" s="96"/>
      <c r="B493" s="96"/>
    </row>
    <row r="494">
      <c r="A494" s="96"/>
      <c r="B494" s="96"/>
    </row>
    <row r="495">
      <c r="A495" s="96"/>
      <c r="B495" s="96"/>
    </row>
    <row r="496">
      <c r="A496" s="96"/>
      <c r="B496" s="96"/>
    </row>
    <row r="497">
      <c r="A497" s="96"/>
      <c r="B497" s="96"/>
    </row>
    <row r="498">
      <c r="A498" s="96"/>
      <c r="B498" s="96"/>
    </row>
    <row r="499">
      <c r="A499" s="96"/>
      <c r="B499" s="96"/>
    </row>
    <row r="500">
      <c r="A500" s="96"/>
      <c r="B500" s="96"/>
    </row>
    <row r="501">
      <c r="A501" s="96"/>
      <c r="B501" s="96"/>
    </row>
    <row r="502">
      <c r="A502" s="96"/>
      <c r="B502" s="96"/>
    </row>
    <row r="503">
      <c r="A503" s="96"/>
      <c r="B503" s="96"/>
    </row>
    <row r="504">
      <c r="A504" s="96"/>
      <c r="B504" s="96"/>
    </row>
    <row r="505">
      <c r="A505" s="96"/>
      <c r="B505" s="96"/>
    </row>
    <row r="506">
      <c r="A506" s="96"/>
      <c r="B506" s="96"/>
    </row>
    <row r="507">
      <c r="A507" s="96"/>
      <c r="B507" s="96"/>
    </row>
    <row r="508">
      <c r="A508" s="96"/>
      <c r="B508" s="96"/>
    </row>
    <row r="509">
      <c r="A509" s="96"/>
      <c r="B509" s="96"/>
    </row>
    <row r="510">
      <c r="A510" s="96"/>
      <c r="B510" s="96"/>
    </row>
    <row r="511">
      <c r="A511" s="96"/>
      <c r="B511" s="96"/>
    </row>
    <row r="512">
      <c r="A512" s="96"/>
      <c r="B512" s="96"/>
    </row>
    <row r="513">
      <c r="A513" s="96"/>
      <c r="B513" s="96"/>
    </row>
    <row r="514">
      <c r="A514" s="96"/>
      <c r="B514" s="96"/>
    </row>
    <row r="515">
      <c r="A515" s="96"/>
      <c r="B515" s="96"/>
    </row>
    <row r="516">
      <c r="A516" s="96"/>
      <c r="B516" s="96"/>
    </row>
    <row r="517">
      <c r="A517" s="96"/>
      <c r="B517" s="96"/>
    </row>
    <row r="518">
      <c r="A518" s="96"/>
      <c r="B518" s="96"/>
    </row>
    <row r="519">
      <c r="A519" s="96"/>
      <c r="B519" s="96"/>
    </row>
    <row r="520">
      <c r="A520" s="96"/>
      <c r="B520" s="96"/>
    </row>
    <row r="521">
      <c r="A521" s="96"/>
      <c r="B521" s="96"/>
    </row>
    <row r="522">
      <c r="A522" s="96"/>
      <c r="B522" s="96"/>
    </row>
    <row r="523">
      <c r="A523" s="96"/>
      <c r="B523" s="96"/>
    </row>
    <row r="524">
      <c r="A524" s="96"/>
      <c r="B524" s="96"/>
    </row>
    <row r="525">
      <c r="A525" s="96"/>
      <c r="B525" s="96"/>
    </row>
    <row r="526">
      <c r="A526" s="96"/>
      <c r="B526" s="96"/>
    </row>
    <row r="527">
      <c r="A527" s="96"/>
      <c r="B527" s="96"/>
    </row>
    <row r="528">
      <c r="A528" s="96"/>
      <c r="B528" s="96"/>
    </row>
    <row r="529">
      <c r="A529" s="96"/>
      <c r="B529" s="96"/>
    </row>
    <row r="530">
      <c r="A530" s="96"/>
      <c r="B530" s="96"/>
    </row>
    <row r="531">
      <c r="A531" s="96"/>
      <c r="B531" s="96"/>
    </row>
    <row r="532">
      <c r="A532" s="96"/>
      <c r="B532" s="96"/>
    </row>
    <row r="533">
      <c r="A533" s="96"/>
      <c r="B533" s="96"/>
    </row>
    <row r="534">
      <c r="A534" s="96"/>
      <c r="B534" s="96"/>
    </row>
    <row r="535">
      <c r="A535" s="96"/>
      <c r="B535" s="96"/>
    </row>
    <row r="536">
      <c r="A536" s="96"/>
      <c r="B536" s="96"/>
    </row>
    <row r="537">
      <c r="A537" s="96"/>
      <c r="B537" s="96"/>
    </row>
    <row r="538">
      <c r="A538" s="96"/>
      <c r="B538" s="96"/>
    </row>
    <row r="539">
      <c r="A539" s="96"/>
      <c r="B539" s="96"/>
    </row>
    <row r="540">
      <c r="A540" s="96"/>
      <c r="B540" s="96"/>
    </row>
    <row r="541">
      <c r="A541" s="96"/>
      <c r="B541" s="96"/>
    </row>
    <row r="542">
      <c r="A542" s="96"/>
      <c r="B542" s="96"/>
    </row>
    <row r="543">
      <c r="A543" s="96"/>
      <c r="B543" s="96"/>
    </row>
    <row r="544">
      <c r="A544" s="96"/>
      <c r="B544" s="96"/>
    </row>
    <row r="545">
      <c r="A545" s="96"/>
      <c r="B545" s="96"/>
    </row>
    <row r="546">
      <c r="A546" s="96"/>
      <c r="B546" s="96"/>
    </row>
    <row r="547">
      <c r="A547" s="96"/>
      <c r="B547" s="96"/>
    </row>
    <row r="548">
      <c r="A548" s="96"/>
      <c r="B548" s="96"/>
    </row>
    <row r="549">
      <c r="A549" s="96"/>
      <c r="B549" s="96"/>
    </row>
    <row r="550">
      <c r="A550" s="96"/>
      <c r="B550" s="96"/>
    </row>
    <row r="551">
      <c r="A551" s="96"/>
      <c r="B551" s="96"/>
    </row>
    <row r="552">
      <c r="A552" s="96"/>
      <c r="B552" s="96"/>
    </row>
    <row r="553">
      <c r="A553" s="96"/>
      <c r="B553" s="96"/>
    </row>
    <row r="554">
      <c r="A554" s="96"/>
      <c r="B554" s="96"/>
    </row>
    <row r="555">
      <c r="A555" s="96"/>
      <c r="B555" s="96"/>
    </row>
    <row r="556">
      <c r="A556" s="96"/>
      <c r="B556" s="96"/>
    </row>
    <row r="557">
      <c r="A557" s="96"/>
      <c r="B557" s="96"/>
    </row>
    <row r="558">
      <c r="A558" s="96"/>
      <c r="B558" s="96"/>
    </row>
    <row r="559">
      <c r="A559" s="96"/>
      <c r="B559" s="96"/>
    </row>
    <row r="560">
      <c r="A560" s="96"/>
      <c r="B560" s="96"/>
    </row>
    <row r="561">
      <c r="A561" s="96"/>
      <c r="B561" s="96"/>
    </row>
    <row r="562">
      <c r="A562" s="96"/>
      <c r="B562" s="96"/>
    </row>
    <row r="563">
      <c r="A563" s="96"/>
      <c r="B563" s="96"/>
    </row>
    <row r="564">
      <c r="A564" s="96"/>
      <c r="B564" s="96"/>
    </row>
    <row r="565">
      <c r="A565" s="96"/>
      <c r="B565" s="96"/>
    </row>
    <row r="566">
      <c r="A566" s="96"/>
      <c r="B566" s="96"/>
    </row>
    <row r="567">
      <c r="A567" s="96"/>
      <c r="B567" s="96"/>
    </row>
    <row r="568">
      <c r="A568" s="96"/>
      <c r="B568" s="96"/>
    </row>
    <row r="569">
      <c r="A569" s="96"/>
      <c r="B569" s="96"/>
    </row>
    <row r="570">
      <c r="A570" s="96"/>
      <c r="B570" s="96"/>
    </row>
    <row r="571">
      <c r="A571" s="96"/>
      <c r="B571" s="96"/>
    </row>
    <row r="572">
      <c r="A572" s="96"/>
      <c r="B572" s="96"/>
    </row>
    <row r="573">
      <c r="A573" s="96"/>
      <c r="B573" s="96"/>
    </row>
    <row r="574">
      <c r="A574" s="96"/>
      <c r="B574" s="96"/>
    </row>
    <row r="575">
      <c r="A575" s="96"/>
      <c r="B575" s="96"/>
    </row>
    <row r="576">
      <c r="A576" s="96"/>
      <c r="B576" s="96"/>
    </row>
    <row r="577">
      <c r="A577" s="96"/>
      <c r="B577" s="96"/>
    </row>
    <row r="578">
      <c r="A578" s="96"/>
      <c r="B578" s="96"/>
    </row>
    <row r="579">
      <c r="A579" s="96"/>
      <c r="B579" s="96"/>
    </row>
    <row r="580">
      <c r="A580" s="96"/>
      <c r="B580" s="96"/>
    </row>
    <row r="581">
      <c r="A581" s="96"/>
      <c r="B581" s="96"/>
    </row>
    <row r="582">
      <c r="A582" s="96"/>
      <c r="B582" s="96"/>
    </row>
    <row r="583">
      <c r="A583" s="96"/>
      <c r="B583" s="96"/>
    </row>
    <row r="584">
      <c r="A584" s="96"/>
      <c r="B584" s="96"/>
    </row>
    <row r="585">
      <c r="A585" s="96"/>
      <c r="B585" s="96"/>
    </row>
    <row r="586">
      <c r="A586" s="96"/>
      <c r="B586" s="96"/>
    </row>
    <row r="587">
      <c r="A587" s="96"/>
      <c r="B587" s="96"/>
    </row>
    <row r="588">
      <c r="A588" s="96"/>
      <c r="B588" s="96"/>
    </row>
    <row r="589">
      <c r="A589" s="96"/>
      <c r="B589" s="96"/>
    </row>
    <row r="590">
      <c r="A590" s="96"/>
      <c r="B590" s="96"/>
    </row>
    <row r="591">
      <c r="A591" s="96"/>
      <c r="B591" s="96"/>
    </row>
    <row r="592">
      <c r="A592" s="96"/>
      <c r="B592" s="96"/>
    </row>
    <row r="593">
      <c r="A593" s="96"/>
      <c r="B593" s="96"/>
    </row>
    <row r="594">
      <c r="A594" s="96"/>
      <c r="B594" s="96"/>
    </row>
    <row r="595">
      <c r="A595" s="96"/>
      <c r="B595" s="96"/>
    </row>
    <row r="596">
      <c r="A596" s="96"/>
      <c r="B596" s="96"/>
    </row>
    <row r="597">
      <c r="A597" s="96"/>
      <c r="B597" s="96"/>
    </row>
    <row r="598">
      <c r="A598" s="96"/>
      <c r="B598" s="96"/>
    </row>
    <row r="599">
      <c r="A599" s="96"/>
      <c r="B599" s="96"/>
    </row>
    <row r="600">
      <c r="A600" s="96"/>
      <c r="B600" s="96"/>
    </row>
    <row r="601">
      <c r="A601" s="96"/>
      <c r="B601" s="96"/>
    </row>
    <row r="602">
      <c r="A602" s="96"/>
      <c r="B602" s="96"/>
    </row>
    <row r="603">
      <c r="A603" s="96"/>
      <c r="B603" s="96"/>
    </row>
    <row r="604">
      <c r="A604" s="96"/>
      <c r="B604" s="96"/>
    </row>
    <row r="605">
      <c r="A605" s="96"/>
      <c r="B605" s="96"/>
    </row>
    <row r="606">
      <c r="A606" s="96"/>
      <c r="B606" s="96"/>
    </row>
    <row r="607">
      <c r="A607" s="96"/>
      <c r="B607" s="96"/>
    </row>
    <row r="608">
      <c r="A608" s="96"/>
      <c r="B608" s="96"/>
    </row>
    <row r="609">
      <c r="A609" s="96"/>
      <c r="B609" s="96"/>
    </row>
    <row r="610">
      <c r="A610" s="96"/>
      <c r="B610" s="96"/>
    </row>
    <row r="611">
      <c r="A611" s="96"/>
      <c r="B611" s="96"/>
    </row>
    <row r="612">
      <c r="A612" s="96"/>
      <c r="B612" s="96"/>
    </row>
    <row r="613">
      <c r="A613" s="96"/>
      <c r="B613" s="96"/>
    </row>
    <row r="614">
      <c r="A614" s="96"/>
      <c r="B614" s="96"/>
    </row>
    <row r="615">
      <c r="A615" s="96"/>
      <c r="B615" s="96"/>
    </row>
    <row r="616">
      <c r="A616" s="96"/>
      <c r="B616" s="96"/>
    </row>
    <row r="617">
      <c r="A617" s="96"/>
      <c r="B617" s="96"/>
    </row>
    <row r="618">
      <c r="A618" s="96"/>
      <c r="B618" s="96"/>
    </row>
    <row r="619">
      <c r="A619" s="96"/>
      <c r="B619" s="96"/>
    </row>
    <row r="620">
      <c r="A620" s="96"/>
      <c r="B620" s="96"/>
    </row>
    <row r="621">
      <c r="A621" s="96"/>
      <c r="B621" s="96"/>
    </row>
    <row r="622">
      <c r="A622" s="96"/>
      <c r="B622" s="96"/>
    </row>
    <row r="623">
      <c r="A623" s="96"/>
      <c r="B623" s="96"/>
    </row>
    <row r="624">
      <c r="A624" s="96"/>
      <c r="B624" s="96"/>
    </row>
    <row r="625">
      <c r="A625" s="96"/>
      <c r="B625" s="96"/>
    </row>
    <row r="626">
      <c r="A626" s="96"/>
      <c r="B626" s="96"/>
    </row>
    <row r="627">
      <c r="A627" s="96"/>
      <c r="B627" s="96"/>
    </row>
    <row r="628">
      <c r="A628" s="96"/>
      <c r="B628" s="96"/>
    </row>
    <row r="629">
      <c r="A629" s="96"/>
      <c r="B629" s="96"/>
    </row>
    <row r="630">
      <c r="A630" s="96"/>
      <c r="B630" s="96"/>
    </row>
    <row r="631">
      <c r="A631" s="96"/>
      <c r="B631" s="96"/>
    </row>
    <row r="632">
      <c r="A632" s="96"/>
      <c r="B632" s="96"/>
    </row>
    <row r="633">
      <c r="A633" s="96"/>
      <c r="B633" s="96"/>
    </row>
    <row r="634">
      <c r="A634" s="96"/>
      <c r="B634" s="96"/>
    </row>
    <row r="635">
      <c r="A635" s="96"/>
      <c r="B635" s="96"/>
    </row>
    <row r="636">
      <c r="A636" s="96"/>
      <c r="B636" s="96"/>
    </row>
    <row r="637">
      <c r="A637" s="96"/>
      <c r="B637" s="96"/>
    </row>
    <row r="638">
      <c r="A638" s="96"/>
      <c r="B638" s="96"/>
    </row>
    <row r="639">
      <c r="A639" s="96"/>
      <c r="B639" s="96"/>
    </row>
    <row r="640">
      <c r="A640" s="96"/>
      <c r="B640" s="96"/>
    </row>
    <row r="641">
      <c r="A641" s="96"/>
      <c r="B641" s="96"/>
    </row>
    <row r="642">
      <c r="A642" s="96"/>
      <c r="B642" s="96"/>
    </row>
    <row r="643">
      <c r="A643" s="96"/>
      <c r="B643" s="96"/>
    </row>
    <row r="644">
      <c r="A644" s="96"/>
      <c r="B644" s="96"/>
    </row>
    <row r="645">
      <c r="A645" s="96"/>
      <c r="B645" s="96"/>
    </row>
    <row r="646">
      <c r="A646" s="96"/>
      <c r="B646" s="96"/>
    </row>
    <row r="647">
      <c r="A647" s="96"/>
      <c r="B647" s="96"/>
    </row>
    <row r="648">
      <c r="A648" s="96"/>
      <c r="B648" s="96"/>
    </row>
    <row r="649">
      <c r="A649" s="96"/>
      <c r="B649" s="96"/>
    </row>
    <row r="650">
      <c r="A650" s="96"/>
      <c r="B650" s="96"/>
    </row>
    <row r="651">
      <c r="A651" s="96"/>
      <c r="B651" s="96"/>
    </row>
    <row r="652">
      <c r="A652" s="96"/>
      <c r="B652" s="96"/>
    </row>
    <row r="653">
      <c r="A653" s="96"/>
      <c r="B653" s="96"/>
    </row>
    <row r="654">
      <c r="A654" s="96"/>
      <c r="B654" s="96"/>
    </row>
    <row r="655">
      <c r="A655" s="96"/>
      <c r="B655" s="96"/>
    </row>
    <row r="656">
      <c r="A656" s="96"/>
      <c r="B656" s="96"/>
    </row>
    <row r="657">
      <c r="A657" s="96"/>
      <c r="B657" s="96"/>
    </row>
    <row r="658">
      <c r="A658" s="96"/>
      <c r="B658" s="96"/>
    </row>
    <row r="659">
      <c r="A659" s="96"/>
      <c r="B659" s="96"/>
    </row>
    <row r="660">
      <c r="A660" s="96"/>
      <c r="B660" s="96"/>
    </row>
    <row r="661">
      <c r="A661" s="96"/>
      <c r="B661" s="96"/>
    </row>
    <row r="662">
      <c r="A662" s="96"/>
      <c r="B662" s="96"/>
    </row>
    <row r="663">
      <c r="A663" s="96"/>
      <c r="B663" s="96"/>
    </row>
    <row r="664">
      <c r="A664" s="96"/>
      <c r="B664" s="96"/>
    </row>
    <row r="665">
      <c r="A665" s="96"/>
      <c r="B665" s="96"/>
    </row>
    <row r="666">
      <c r="A666" s="96"/>
      <c r="B666" s="96"/>
    </row>
    <row r="667">
      <c r="A667" s="96"/>
      <c r="B667" s="96"/>
    </row>
    <row r="668">
      <c r="A668" s="96"/>
      <c r="B668" s="96"/>
    </row>
    <row r="669">
      <c r="A669" s="96"/>
      <c r="B669" s="96"/>
    </row>
    <row r="670">
      <c r="A670" s="96"/>
      <c r="B670" s="96"/>
    </row>
    <row r="671">
      <c r="A671" s="96"/>
      <c r="B671" s="96"/>
    </row>
    <row r="672">
      <c r="A672" s="96"/>
      <c r="B672" s="96"/>
    </row>
    <row r="673">
      <c r="A673" s="96"/>
      <c r="B673" s="96"/>
    </row>
    <row r="674">
      <c r="A674" s="96"/>
      <c r="B674" s="96"/>
    </row>
    <row r="675">
      <c r="A675" s="96"/>
      <c r="B675" s="96"/>
    </row>
    <row r="676">
      <c r="A676" s="96"/>
      <c r="B676" s="96"/>
    </row>
    <row r="677">
      <c r="A677" s="96"/>
      <c r="B677" s="96"/>
    </row>
    <row r="678">
      <c r="A678" s="96"/>
      <c r="B678" s="96"/>
    </row>
    <row r="679">
      <c r="A679" s="96"/>
      <c r="B679" s="96"/>
    </row>
    <row r="680">
      <c r="A680" s="96"/>
      <c r="B680" s="96"/>
    </row>
    <row r="681">
      <c r="A681" s="96"/>
      <c r="B681" s="96"/>
    </row>
    <row r="682">
      <c r="A682" s="96"/>
      <c r="B682" s="96"/>
    </row>
    <row r="683">
      <c r="A683" s="96"/>
      <c r="B683" s="96"/>
    </row>
    <row r="684">
      <c r="A684" s="96"/>
      <c r="B684" s="96"/>
    </row>
    <row r="685">
      <c r="A685" s="96"/>
      <c r="B685" s="96"/>
    </row>
    <row r="686">
      <c r="A686" s="96"/>
      <c r="B686" s="96"/>
    </row>
    <row r="687">
      <c r="A687" s="96"/>
      <c r="B687" s="96"/>
    </row>
    <row r="688">
      <c r="A688" s="96"/>
      <c r="B688" s="96"/>
    </row>
    <row r="689">
      <c r="A689" s="96"/>
      <c r="B689" s="96"/>
    </row>
    <row r="690">
      <c r="A690" s="96"/>
      <c r="B690" s="96"/>
    </row>
    <row r="691">
      <c r="A691" s="96"/>
      <c r="B691" s="96"/>
    </row>
    <row r="692">
      <c r="A692" s="96"/>
      <c r="B692" s="96"/>
    </row>
    <row r="693">
      <c r="A693" s="96"/>
      <c r="B693" s="96"/>
    </row>
    <row r="694">
      <c r="A694" s="96"/>
      <c r="B694" s="96"/>
    </row>
    <row r="695">
      <c r="A695" s="96"/>
      <c r="B695" s="96"/>
    </row>
    <row r="696">
      <c r="A696" s="96"/>
      <c r="B696" s="96"/>
    </row>
    <row r="697">
      <c r="A697" s="96"/>
      <c r="B697" s="96"/>
    </row>
    <row r="698">
      <c r="A698" s="96"/>
      <c r="B698" s="96"/>
    </row>
    <row r="699">
      <c r="A699" s="96"/>
      <c r="B699" s="96"/>
    </row>
    <row r="700">
      <c r="A700" s="96"/>
      <c r="B700" s="96"/>
    </row>
    <row r="701">
      <c r="A701" s="96"/>
      <c r="B701" s="96"/>
    </row>
    <row r="702">
      <c r="A702" s="96"/>
      <c r="B702" s="96"/>
    </row>
    <row r="703">
      <c r="A703" s="96"/>
      <c r="B703" s="96"/>
    </row>
    <row r="704">
      <c r="A704" s="96"/>
      <c r="B704" s="96"/>
    </row>
    <row r="705">
      <c r="A705" s="96"/>
      <c r="B705" s="96"/>
    </row>
    <row r="706">
      <c r="A706" s="96"/>
      <c r="B706" s="96"/>
    </row>
    <row r="707">
      <c r="A707" s="96"/>
      <c r="B707" s="96"/>
    </row>
    <row r="708">
      <c r="A708" s="96"/>
      <c r="B708" s="96"/>
    </row>
    <row r="709">
      <c r="A709" s="96"/>
      <c r="B709" s="96"/>
    </row>
    <row r="710">
      <c r="A710" s="96"/>
      <c r="B710" s="96"/>
    </row>
    <row r="711">
      <c r="A711" s="96"/>
      <c r="B711" s="96"/>
    </row>
    <row r="712">
      <c r="A712" s="96"/>
      <c r="B712" s="96"/>
    </row>
    <row r="713">
      <c r="A713" s="96"/>
      <c r="B713" s="96"/>
    </row>
    <row r="714">
      <c r="A714" s="96"/>
      <c r="B714" s="96"/>
    </row>
    <row r="715">
      <c r="A715" s="96"/>
      <c r="B715" s="96"/>
    </row>
    <row r="716">
      <c r="A716" s="96"/>
      <c r="B716" s="96"/>
    </row>
    <row r="717">
      <c r="A717" s="96"/>
      <c r="B717" s="96"/>
    </row>
    <row r="718">
      <c r="A718" s="96"/>
      <c r="B718" s="96"/>
    </row>
    <row r="719">
      <c r="A719" s="96"/>
      <c r="B719" s="96"/>
    </row>
    <row r="720">
      <c r="A720" s="96"/>
      <c r="B720" s="96"/>
    </row>
    <row r="721">
      <c r="A721" s="96"/>
      <c r="B721" s="96"/>
    </row>
    <row r="722">
      <c r="A722" s="96"/>
      <c r="B722" s="96"/>
    </row>
    <row r="723">
      <c r="A723" s="96"/>
      <c r="B723" s="96"/>
    </row>
    <row r="724">
      <c r="A724" s="96"/>
      <c r="B724" s="96"/>
    </row>
    <row r="725">
      <c r="A725" s="96"/>
      <c r="B725" s="96"/>
    </row>
    <row r="726">
      <c r="A726" s="96"/>
      <c r="B726" s="96"/>
    </row>
    <row r="727">
      <c r="A727" s="96"/>
      <c r="B727" s="96"/>
    </row>
    <row r="728">
      <c r="A728" s="96"/>
      <c r="B728" s="96"/>
    </row>
    <row r="729">
      <c r="A729" s="96"/>
      <c r="B729" s="96"/>
    </row>
    <row r="730">
      <c r="A730" s="96"/>
      <c r="B730" s="96"/>
    </row>
    <row r="731">
      <c r="A731" s="96"/>
      <c r="B731" s="96"/>
    </row>
    <row r="732">
      <c r="A732" s="96"/>
      <c r="B732" s="96"/>
    </row>
    <row r="733">
      <c r="A733" s="96"/>
      <c r="B733" s="96"/>
    </row>
    <row r="734">
      <c r="A734" s="96"/>
      <c r="B734" s="96"/>
    </row>
    <row r="735">
      <c r="A735" s="96"/>
      <c r="B735" s="96"/>
    </row>
    <row r="736">
      <c r="A736" s="96"/>
      <c r="B736" s="96"/>
    </row>
    <row r="737">
      <c r="A737" s="96"/>
      <c r="B737" s="96"/>
    </row>
    <row r="738">
      <c r="A738" s="96"/>
      <c r="B738" s="96"/>
    </row>
    <row r="739">
      <c r="A739" s="96"/>
      <c r="B739" s="96"/>
    </row>
    <row r="740">
      <c r="A740" s="96"/>
      <c r="B740" s="96"/>
    </row>
    <row r="741">
      <c r="A741" s="96"/>
      <c r="B741" s="96"/>
    </row>
    <row r="742">
      <c r="A742" s="96"/>
      <c r="B742" s="96"/>
    </row>
    <row r="743">
      <c r="A743" s="96"/>
      <c r="B743" s="96"/>
    </row>
    <row r="744">
      <c r="A744" s="96"/>
      <c r="B744" s="96"/>
    </row>
    <row r="745">
      <c r="A745" s="96"/>
      <c r="B745" s="96"/>
    </row>
    <row r="746">
      <c r="A746" s="96"/>
      <c r="B746" s="96"/>
    </row>
    <row r="747">
      <c r="A747" s="96"/>
      <c r="B747" s="96"/>
    </row>
    <row r="748">
      <c r="A748" s="96"/>
      <c r="B748" s="96"/>
    </row>
    <row r="749">
      <c r="A749" s="96"/>
      <c r="B749" s="96"/>
    </row>
    <row r="750">
      <c r="A750" s="96"/>
      <c r="B750" s="96"/>
    </row>
    <row r="751">
      <c r="A751" s="96"/>
      <c r="B751" s="96"/>
    </row>
    <row r="752">
      <c r="A752" s="96"/>
      <c r="B752" s="96"/>
    </row>
    <row r="753">
      <c r="A753" s="96"/>
      <c r="B753" s="96"/>
    </row>
    <row r="754">
      <c r="A754" s="96"/>
      <c r="B754" s="96"/>
    </row>
    <row r="755">
      <c r="A755" s="96"/>
      <c r="B755" s="96"/>
    </row>
    <row r="756">
      <c r="A756" s="96"/>
      <c r="B756" s="96"/>
    </row>
    <row r="757">
      <c r="A757" s="96"/>
      <c r="B757" s="96"/>
    </row>
    <row r="758">
      <c r="A758" s="96"/>
      <c r="B758" s="96"/>
    </row>
    <row r="759">
      <c r="A759" s="96"/>
      <c r="B759" s="96"/>
    </row>
    <row r="760">
      <c r="A760" s="96"/>
      <c r="B760" s="96"/>
    </row>
    <row r="761">
      <c r="A761" s="96"/>
      <c r="B761" s="96"/>
    </row>
    <row r="762">
      <c r="A762" s="96"/>
      <c r="B762" s="96"/>
    </row>
    <row r="763">
      <c r="A763" s="96"/>
      <c r="B763" s="96"/>
    </row>
    <row r="764">
      <c r="A764" s="96"/>
      <c r="B764" s="96"/>
    </row>
    <row r="765">
      <c r="A765" s="96"/>
      <c r="B765" s="96"/>
    </row>
    <row r="766">
      <c r="A766" s="96"/>
      <c r="B766" s="96"/>
    </row>
    <row r="767">
      <c r="A767" s="96"/>
      <c r="B767" s="96"/>
    </row>
    <row r="768">
      <c r="A768" s="96"/>
      <c r="B768" s="96"/>
    </row>
    <row r="769">
      <c r="A769" s="96"/>
      <c r="B769" s="96"/>
    </row>
    <row r="770">
      <c r="A770" s="96"/>
      <c r="B770" s="96"/>
    </row>
    <row r="771">
      <c r="A771" s="96"/>
      <c r="B771" s="96"/>
    </row>
    <row r="772">
      <c r="A772" s="96"/>
      <c r="B772" s="96"/>
    </row>
    <row r="773">
      <c r="A773" s="96"/>
      <c r="B773" s="96"/>
    </row>
    <row r="774">
      <c r="A774" s="96"/>
      <c r="B774" s="96"/>
    </row>
    <row r="775">
      <c r="A775" s="96"/>
      <c r="B775" s="96"/>
    </row>
    <row r="776">
      <c r="A776" s="96"/>
      <c r="B776" s="96"/>
    </row>
    <row r="777">
      <c r="A777" s="96"/>
      <c r="B777" s="96"/>
    </row>
    <row r="778">
      <c r="A778" s="96"/>
      <c r="B778" s="96"/>
    </row>
    <row r="779">
      <c r="A779" s="96"/>
      <c r="B779" s="96"/>
    </row>
    <row r="780">
      <c r="A780" s="96"/>
      <c r="B780" s="96"/>
    </row>
    <row r="781">
      <c r="A781" s="96"/>
      <c r="B781" s="96"/>
    </row>
    <row r="782">
      <c r="A782" s="96"/>
      <c r="B782" s="96"/>
    </row>
    <row r="783">
      <c r="A783" s="96"/>
      <c r="B783" s="96"/>
    </row>
    <row r="784">
      <c r="A784" s="96"/>
      <c r="B784" s="96"/>
    </row>
    <row r="785">
      <c r="A785" s="96"/>
      <c r="B785" s="96"/>
    </row>
    <row r="786">
      <c r="A786" s="96"/>
      <c r="B786" s="96"/>
    </row>
    <row r="787">
      <c r="A787" s="96"/>
      <c r="B787" s="96"/>
    </row>
    <row r="788">
      <c r="A788" s="96"/>
      <c r="B788" s="96"/>
    </row>
    <row r="789">
      <c r="A789" s="96"/>
      <c r="B789" s="96"/>
    </row>
    <row r="790">
      <c r="A790" s="96"/>
      <c r="B790" s="96"/>
    </row>
    <row r="791">
      <c r="A791" s="96"/>
      <c r="B791" s="96"/>
    </row>
    <row r="792">
      <c r="A792" s="96"/>
      <c r="B792" s="96"/>
    </row>
    <row r="793">
      <c r="A793" s="96"/>
      <c r="B793" s="96"/>
    </row>
    <row r="794">
      <c r="A794" s="96"/>
      <c r="B794" s="96"/>
    </row>
    <row r="795">
      <c r="A795" s="96"/>
      <c r="B795" s="96"/>
    </row>
    <row r="796">
      <c r="A796" s="96"/>
      <c r="B796" s="96"/>
    </row>
    <row r="797">
      <c r="A797" s="96"/>
      <c r="B797" s="96"/>
    </row>
    <row r="798">
      <c r="A798" s="96"/>
      <c r="B798" s="96"/>
    </row>
    <row r="799">
      <c r="A799" s="96"/>
      <c r="B799" s="96"/>
    </row>
    <row r="800">
      <c r="A800" s="96"/>
      <c r="B800" s="96"/>
    </row>
    <row r="801">
      <c r="A801" s="96"/>
      <c r="B801" s="96"/>
    </row>
    <row r="802">
      <c r="A802" s="96"/>
      <c r="B802" s="96"/>
    </row>
    <row r="803">
      <c r="A803" s="96"/>
      <c r="B803" s="96"/>
    </row>
    <row r="804">
      <c r="A804" s="96"/>
      <c r="B804" s="96"/>
    </row>
    <row r="805">
      <c r="A805" s="96"/>
      <c r="B805" s="96"/>
    </row>
    <row r="806">
      <c r="A806" s="96"/>
      <c r="B806" s="96"/>
    </row>
    <row r="807">
      <c r="A807" s="96"/>
      <c r="B807" s="96"/>
    </row>
    <row r="808">
      <c r="A808" s="96"/>
      <c r="B808" s="96"/>
    </row>
    <row r="809">
      <c r="A809" s="96"/>
      <c r="B809" s="96"/>
    </row>
    <row r="810">
      <c r="A810" s="96"/>
      <c r="B810" s="96"/>
    </row>
    <row r="811">
      <c r="A811" s="96"/>
      <c r="B811" s="96"/>
    </row>
    <row r="812">
      <c r="A812" s="96"/>
      <c r="B812" s="96"/>
    </row>
    <row r="813">
      <c r="A813" s="96"/>
      <c r="B813" s="96"/>
    </row>
    <row r="814">
      <c r="A814" s="96"/>
      <c r="B814" s="96"/>
    </row>
    <row r="815">
      <c r="A815" s="96"/>
      <c r="B815" s="96"/>
    </row>
    <row r="816">
      <c r="A816" s="96"/>
      <c r="B816" s="96"/>
    </row>
    <row r="817">
      <c r="A817" s="96"/>
      <c r="B817" s="96"/>
    </row>
    <row r="818">
      <c r="A818" s="96"/>
      <c r="B818" s="96"/>
    </row>
    <row r="819">
      <c r="A819" s="96"/>
      <c r="B819" s="96"/>
    </row>
    <row r="820">
      <c r="A820" s="96"/>
      <c r="B820" s="96"/>
    </row>
    <row r="821">
      <c r="A821" s="96"/>
      <c r="B821" s="96"/>
    </row>
    <row r="822">
      <c r="A822" s="96"/>
      <c r="B822" s="96"/>
    </row>
    <row r="823">
      <c r="A823" s="96"/>
      <c r="B823" s="96"/>
    </row>
    <row r="824">
      <c r="A824" s="96"/>
      <c r="B824" s="96"/>
    </row>
    <row r="825">
      <c r="A825" s="96"/>
      <c r="B825" s="96"/>
    </row>
    <row r="826">
      <c r="A826" s="96"/>
      <c r="B826" s="96"/>
    </row>
    <row r="827">
      <c r="A827" s="96"/>
      <c r="B827" s="96"/>
    </row>
    <row r="828">
      <c r="A828" s="96"/>
      <c r="B828" s="96"/>
    </row>
    <row r="829">
      <c r="A829" s="96"/>
      <c r="B829" s="96"/>
    </row>
    <row r="830">
      <c r="A830" s="96"/>
      <c r="B830" s="96"/>
    </row>
    <row r="831">
      <c r="A831" s="96"/>
      <c r="B831" s="96"/>
    </row>
    <row r="832">
      <c r="A832" s="96"/>
      <c r="B832" s="96"/>
    </row>
    <row r="833">
      <c r="A833" s="96"/>
      <c r="B833" s="96"/>
    </row>
    <row r="834">
      <c r="A834" s="96"/>
      <c r="B834" s="96"/>
    </row>
    <row r="835">
      <c r="A835" s="96"/>
      <c r="B835" s="96"/>
    </row>
    <row r="836">
      <c r="A836" s="96"/>
      <c r="B836" s="96"/>
    </row>
    <row r="837">
      <c r="A837" s="96"/>
      <c r="B837" s="96"/>
    </row>
    <row r="838">
      <c r="A838" s="96"/>
      <c r="B838" s="96"/>
    </row>
    <row r="839">
      <c r="A839" s="96"/>
      <c r="B839" s="96"/>
    </row>
    <row r="840">
      <c r="A840" s="96"/>
      <c r="B840" s="96"/>
    </row>
    <row r="841">
      <c r="A841" s="96"/>
      <c r="B841" s="96"/>
    </row>
    <row r="842">
      <c r="A842" s="96"/>
      <c r="B842" s="96"/>
    </row>
    <row r="843">
      <c r="A843" s="96"/>
      <c r="B843" s="96"/>
    </row>
    <row r="844">
      <c r="A844" s="96"/>
      <c r="B844" s="96"/>
    </row>
    <row r="845">
      <c r="A845" s="96"/>
      <c r="B845" s="96"/>
    </row>
    <row r="846">
      <c r="A846" s="96"/>
      <c r="B846" s="96"/>
    </row>
    <row r="847">
      <c r="A847" s="96"/>
      <c r="B847" s="96"/>
    </row>
    <row r="848">
      <c r="A848" s="96"/>
      <c r="B848" s="96"/>
    </row>
    <row r="849">
      <c r="A849" s="96"/>
      <c r="B849" s="96"/>
    </row>
    <row r="850">
      <c r="A850" s="96"/>
      <c r="B850" s="96"/>
    </row>
    <row r="851">
      <c r="A851" s="96"/>
      <c r="B851" s="96"/>
    </row>
    <row r="852">
      <c r="A852" s="96"/>
      <c r="B852" s="96"/>
    </row>
    <row r="853">
      <c r="A853" s="96"/>
      <c r="B853" s="96"/>
    </row>
    <row r="854">
      <c r="A854" s="96"/>
      <c r="B854" s="96"/>
    </row>
    <row r="855">
      <c r="A855" s="96"/>
      <c r="B855" s="96"/>
    </row>
    <row r="856">
      <c r="A856" s="96"/>
      <c r="B856" s="96"/>
    </row>
    <row r="857">
      <c r="A857" s="96"/>
      <c r="B857" s="96"/>
    </row>
    <row r="858">
      <c r="A858" s="96"/>
      <c r="B858" s="96"/>
    </row>
    <row r="859">
      <c r="A859" s="96"/>
      <c r="B859" s="96"/>
    </row>
    <row r="860">
      <c r="A860" s="96"/>
      <c r="B860" s="96"/>
    </row>
    <row r="861">
      <c r="A861" s="96"/>
      <c r="B861" s="96"/>
    </row>
    <row r="862">
      <c r="A862" s="96"/>
      <c r="B862" s="96"/>
    </row>
    <row r="863">
      <c r="A863" s="96"/>
      <c r="B863" s="96"/>
    </row>
    <row r="864">
      <c r="A864" s="96"/>
      <c r="B864" s="96"/>
    </row>
    <row r="865">
      <c r="A865" s="96"/>
      <c r="B865" s="96"/>
    </row>
    <row r="866">
      <c r="A866" s="96"/>
      <c r="B866" s="96"/>
    </row>
    <row r="867">
      <c r="A867" s="96"/>
      <c r="B867" s="96"/>
    </row>
    <row r="868">
      <c r="A868" s="96"/>
      <c r="B868" s="96"/>
    </row>
    <row r="869">
      <c r="A869" s="96"/>
      <c r="B869" s="96"/>
    </row>
    <row r="870">
      <c r="A870" s="96"/>
      <c r="B870" s="96"/>
    </row>
    <row r="871">
      <c r="A871" s="96"/>
      <c r="B871" s="96"/>
    </row>
    <row r="872">
      <c r="A872" s="96"/>
      <c r="B872" s="96"/>
    </row>
    <row r="873">
      <c r="A873" s="96"/>
      <c r="B873" s="96"/>
    </row>
    <row r="874">
      <c r="A874" s="96"/>
      <c r="B874" s="96"/>
    </row>
    <row r="875">
      <c r="A875" s="96"/>
      <c r="B875" s="96"/>
    </row>
    <row r="876">
      <c r="A876" s="96"/>
      <c r="B876" s="96"/>
    </row>
    <row r="877">
      <c r="A877" s="96"/>
      <c r="B877" s="96"/>
    </row>
    <row r="878">
      <c r="A878" s="96"/>
      <c r="B878" s="96"/>
    </row>
    <row r="879">
      <c r="A879" s="96"/>
      <c r="B879" s="96"/>
    </row>
    <row r="880">
      <c r="A880" s="96"/>
      <c r="B880" s="96"/>
    </row>
    <row r="881">
      <c r="A881" s="96"/>
      <c r="B881" s="96"/>
    </row>
    <row r="882">
      <c r="A882" s="96"/>
      <c r="B882" s="96"/>
    </row>
    <row r="883">
      <c r="A883" s="96"/>
      <c r="B883" s="96"/>
    </row>
    <row r="884">
      <c r="A884" s="96"/>
      <c r="B884" s="96"/>
    </row>
    <row r="885">
      <c r="A885" s="96"/>
      <c r="B885" s="96"/>
    </row>
    <row r="886">
      <c r="A886" s="96"/>
      <c r="B886" s="96"/>
    </row>
    <row r="887">
      <c r="A887" s="96"/>
      <c r="B887" s="96"/>
    </row>
    <row r="888">
      <c r="A888" s="96"/>
      <c r="B888" s="96"/>
    </row>
    <row r="889">
      <c r="A889" s="96"/>
      <c r="B889" s="96"/>
    </row>
    <row r="890">
      <c r="A890" s="96"/>
      <c r="B890" s="96"/>
    </row>
    <row r="891">
      <c r="A891" s="96"/>
      <c r="B891" s="96"/>
    </row>
    <row r="892">
      <c r="A892" s="96"/>
      <c r="B892" s="96"/>
    </row>
    <row r="893">
      <c r="A893" s="96"/>
      <c r="B893" s="96"/>
    </row>
    <row r="894">
      <c r="A894" s="96"/>
      <c r="B894" s="96"/>
    </row>
    <row r="895">
      <c r="A895" s="96"/>
      <c r="B895" s="96"/>
    </row>
    <row r="896">
      <c r="A896" s="96"/>
      <c r="B896" s="96"/>
    </row>
    <row r="897">
      <c r="A897" s="96"/>
      <c r="B897" s="96"/>
    </row>
    <row r="898">
      <c r="A898" s="96"/>
      <c r="B898" s="96"/>
    </row>
    <row r="899">
      <c r="A899" s="96"/>
      <c r="B899" s="96"/>
    </row>
    <row r="900">
      <c r="A900" s="96"/>
      <c r="B900" s="96"/>
    </row>
    <row r="901">
      <c r="A901" s="96"/>
      <c r="B901" s="96"/>
    </row>
    <row r="902">
      <c r="A902" s="96"/>
      <c r="B902" s="96"/>
    </row>
    <row r="903">
      <c r="A903" s="96"/>
      <c r="B903" s="96"/>
    </row>
    <row r="904">
      <c r="A904" s="96"/>
      <c r="B904" s="96"/>
    </row>
    <row r="905">
      <c r="A905" s="96"/>
      <c r="B905" s="96"/>
    </row>
    <row r="906">
      <c r="A906" s="96"/>
      <c r="B906" s="96"/>
    </row>
    <row r="907">
      <c r="A907" s="96"/>
      <c r="B907" s="96"/>
    </row>
    <row r="908">
      <c r="A908" s="96"/>
      <c r="B908" s="96"/>
    </row>
    <row r="909">
      <c r="A909" s="96"/>
      <c r="B909" s="96"/>
    </row>
    <row r="910">
      <c r="A910" s="96"/>
      <c r="B910" s="96"/>
    </row>
    <row r="911">
      <c r="A911" s="96"/>
      <c r="B911" s="96"/>
    </row>
    <row r="912">
      <c r="A912" s="96"/>
      <c r="B912" s="96"/>
    </row>
    <row r="913">
      <c r="A913" s="96"/>
      <c r="B913" s="96"/>
    </row>
    <row r="914">
      <c r="A914" s="96"/>
      <c r="B914" s="96"/>
    </row>
    <row r="915">
      <c r="A915" s="96"/>
      <c r="B915" s="96"/>
    </row>
    <row r="916">
      <c r="A916" s="96"/>
      <c r="B916" s="96"/>
    </row>
    <row r="917">
      <c r="A917" s="96"/>
      <c r="B917" s="96"/>
    </row>
    <row r="918">
      <c r="A918" s="96"/>
      <c r="B918" s="96"/>
    </row>
    <row r="919">
      <c r="A919" s="96"/>
      <c r="B919" s="96"/>
    </row>
    <row r="920">
      <c r="A920" s="96"/>
      <c r="B920" s="96"/>
    </row>
    <row r="921">
      <c r="A921" s="96"/>
      <c r="B921" s="96"/>
    </row>
    <row r="922">
      <c r="A922" s="96"/>
      <c r="B922" s="96"/>
    </row>
    <row r="923">
      <c r="A923" s="96"/>
      <c r="B923" s="96"/>
    </row>
    <row r="924">
      <c r="A924" s="96"/>
      <c r="B924" s="96"/>
    </row>
    <row r="925">
      <c r="A925" s="96"/>
      <c r="B925" s="96"/>
    </row>
    <row r="926">
      <c r="A926" s="96"/>
      <c r="B926" s="96"/>
    </row>
    <row r="927">
      <c r="A927" s="96"/>
      <c r="B927" s="96"/>
    </row>
    <row r="928">
      <c r="A928" s="96"/>
      <c r="B928" s="96"/>
    </row>
    <row r="929">
      <c r="A929" s="96"/>
      <c r="B929" s="96"/>
    </row>
    <row r="930">
      <c r="A930" s="96"/>
      <c r="B930" s="96"/>
    </row>
    <row r="931">
      <c r="A931" s="96"/>
      <c r="B931" s="96"/>
    </row>
    <row r="932">
      <c r="A932" s="96"/>
      <c r="B932" s="96"/>
    </row>
    <row r="933">
      <c r="A933" s="96"/>
      <c r="B933" s="96"/>
    </row>
    <row r="934">
      <c r="A934" s="96"/>
      <c r="B934" s="96"/>
    </row>
    <row r="935">
      <c r="A935" s="96"/>
      <c r="B935" s="96"/>
    </row>
    <row r="936">
      <c r="A936" s="96"/>
      <c r="B936" s="96"/>
    </row>
    <row r="937">
      <c r="A937" s="96"/>
      <c r="B937" s="96"/>
    </row>
    <row r="938">
      <c r="A938" s="96"/>
      <c r="B938" s="96"/>
    </row>
    <row r="939">
      <c r="A939" s="96"/>
      <c r="B939" s="96"/>
    </row>
    <row r="940">
      <c r="A940" s="96"/>
      <c r="B940" s="96"/>
    </row>
    <row r="941">
      <c r="A941" s="96"/>
      <c r="B941" s="96"/>
    </row>
    <row r="942">
      <c r="A942" s="96"/>
      <c r="B942" s="96"/>
    </row>
    <row r="943">
      <c r="A943" s="96"/>
      <c r="B943" s="96"/>
    </row>
    <row r="944">
      <c r="A944" s="96"/>
      <c r="B944" s="96"/>
    </row>
    <row r="945">
      <c r="A945" s="96"/>
      <c r="B945" s="96"/>
    </row>
    <row r="946">
      <c r="A946" s="96"/>
      <c r="B946" s="96"/>
    </row>
    <row r="947">
      <c r="A947" s="96"/>
      <c r="B947" s="96"/>
    </row>
    <row r="948">
      <c r="A948" s="96"/>
      <c r="B948" s="96"/>
    </row>
    <row r="949">
      <c r="A949" s="96"/>
      <c r="B949" s="96"/>
    </row>
    <row r="950">
      <c r="A950" s="96"/>
      <c r="B950" s="96"/>
    </row>
    <row r="951">
      <c r="A951" s="96"/>
      <c r="B951" s="96"/>
    </row>
    <row r="952">
      <c r="A952" s="96"/>
      <c r="B952" s="96"/>
    </row>
    <row r="953">
      <c r="A953" s="96"/>
      <c r="B953" s="96"/>
    </row>
    <row r="954">
      <c r="A954" s="96"/>
      <c r="B954" s="96"/>
    </row>
    <row r="955">
      <c r="A955" s="96"/>
      <c r="B955" s="96"/>
    </row>
    <row r="956">
      <c r="A956" s="96"/>
      <c r="B956" s="96"/>
    </row>
    <row r="957">
      <c r="A957" s="96"/>
      <c r="B957" s="96"/>
    </row>
    <row r="958">
      <c r="A958" s="96"/>
      <c r="B958" s="96"/>
    </row>
    <row r="959">
      <c r="A959" s="96"/>
      <c r="B959" s="96"/>
    </row>
    <row r="960">
      <c r="A960" s="96"/>
      <c r="B960" s="96"/>
    </row>
    <row r="961">
      <c r="A961" s="96"/>
      <c r="B961" s="96"/>
    </row>
    <row r="962">
      <c r="A962" s="96"/>
      <c r="B962" s="96"/>
    </row>
    <row r="963">
      <c r="A963" s="96"/>
      <c r="B963" s="96"/>
    </row>
    <row r="964">
      <c r="A964" s="96"/>
      <c r="B964" s="96"/>
    </row>
    <row r="965">
      <c r="A965" s="96"/>
      <c r="B965" s="96"/>
    </row>
    <row r="966">
      <c r="A966" s="96"/>
      <c r="B966" s="96"/>
    </row>
    <row r="967">
      <c r="A967" s="96"/>
      <c r="B967" s="96"/>
    </row>
    <row r="968">
      <c r="A968" s="96"/>
      <c r="B968" s="96"/>
    </row>
    <row r="969">
      <c r="A969" s="96"/>
      <c r="B969" s="96"/>
    </row>
    <row r="970">
      <c r="A970" s="96"/>
      <c r="B970" s="96"/>
    </row>
    <row r="971">
      <c r="A971" s="96"/>
      <c r="B971" s="96"/>
    </row>
    <row r="972">
      <c r="A972" s="96"/>
      <c r="B972" s="96"/>
    </row>
    <row r="973">
      <c r="A973" s="96"/>
      <c r="B973" s="96"/>
    </row>
    <row r="974">
      <c r="A974" s="96"/>
      <c r="B974" s="96"/>
    </row>
    <row r="975">
      <c r="A975" s="96"/>
      <c r="B975" s="96"/>
    </row>
    <row r="976">
      <c r="A976" s="96"/>
      <c r="B976" s="96"/>
    </row>
    <row r="977">
      <c r="A977" s="96"/>
      <c r="B977" s="96"/>
    </row>
    <row r="978">
      <c r="A978" s="96"/>
      <c r="B978" s="96"/>
    </row>
    <row r="979">
      <c r="A979" s="96"/>
      <c r="B979" s="96"/>
    </row>
    <row r="980">
      <c r="A980" s="96"/>
      <c r="B980" s="96"/>
    </row>
    <row r="981">
      <c r="A981" s="96"/>
      <c r="B981" s="96"/>
    </row>
    <row r="982">
      <c r="A982" s="96"/>
      <c r="B982" s="96"/>
    </row>
    <row r="983">
      <c r="A983" s="96"/>
      <c r="B983" s="96"/>
    </row>
    <row r="984">
      <c r="A984" s="96"/>
      <c r="B984" s="96"/>
    </row>
    <row r="985">
      <c r="A985" s="96"/>
      <c r="B985" s="96"/>
    </row>
    <row r="986">
      <c r="A986" s="96"/>
      <c r="B986" s="96"/>
    </row>
    <row r="987">
      <c r="A987" s="96"/>
      <c r="B987" s="96"/>
    </row>
    <row r="988">
      <c r="A988" s="96"/>
      <c r="B988" s="96"/>
    </row>
    <row r="989">
      <c r="A989" s="96"/>
      <c r="B989" s="96"/>
    </row>
    <row r="990">
      <c r="A990" s="96"/>
      <c r="B990" s="96"/>
    </row>
    <row r="991">
      <c r="A991" s="96"/>
      <c r="B991" s="96"/>
    </row>
    <row r="992">
      <c r="A992" s="96"/>
      <c r="B992" s="96"/>
    </row>
    <row r="993">
      <c r="A993" s="96"/>
      <c r="B993" s="96"/>
    </row>
    <row r="994">
      <c r="A994" s="96"/>
      <c r="B994" s="96"/>
    </row>
    <row r="995">
      <c r="A995" s="96"/>
      <c r="B995" s="96"/>
    </row>
    <row r="996">
      <c r="A996" s="96"/>
      <c r="B996" s="96"/>
    </row>
    <row r="997">
      <c r="A997" s="96"/>
      <c r="B997" s="96"/>
    </row>
    <row r="998">
      <c r="A998" s="96"/>
      <c r="B998" s="96"/>
    </row>
    <row r="999">
      <c r="A999" s="96"/>
      <c r="B999" s="96"/>
    </row>
    <row r="1000">
      <c r="A1000" s="96"/>
      <c r="B1000" s="96"/>
    </row>
  </sheetData>
  <hyperlinks>
    <hyperlink r:id="rId1" ref="E17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9" width="19.38"/>
  </cols>
  <sheetData>
    <row r="1">
      <c r="A1" s="97" t="s">
        <v>254</v>
      </c>
    </row>
    <row r="2"/>
    <row r="3"/>
    <row r="4"/>
    <row r="5"/>
    <row r="6"/>
    <row r="7"/>
    <row r="8"/>
    <row r="9"/>
    <row r="11">
      <c r="A11" s="97" t="s">
        <v>264</v>
      </c>
    </row>
    <row r="12"/>
    <row r="13"/>
    <row r="14"/>
    <row r="15"/>
    <row r="16"/>
    <row r="17"/>
    <row r="18"/>
    <row r="19"/>
    <row r="20"/>
    <row r="22">
      <c r="A22" s="97" t="s">
        <v>268</v>
      </c>
    </row>
    <row r="23"/>
    <row r="24"/>
    <row r="25"/>
    <row r="26"/>
    <row r="27"/>
    <row r="28"/>
    <row r="29"/>
    <row r="30"/>
    <row r="32">
      <c r="A32" s="97" t="s">
        <v>270</v>
      </c>
    </row>
    <row r="33"/>
    <row r="34"/>
    <row r="35"/>
    <row r="36"/>
    <row r="37"/>
    <row r="38"/>
    <row r="39"/>
    <row r="40"/>
    <row r="42">
      <c r="A42" s="97" t="s">
        <v>272</v>
      </c>
    </row>
    <row r="43"/>
    <row r="44"/>
    <row r="45"/>
    <row r="46"/>
    <row r="47"/>
    <row r="48"/>
    <row r="49"/>
    <row r="50"/>
    <row r="52">
      <c r="A52" s="97" t="s">
        <v>274</v>
      </c>
    </row>
    <row r="53"/>
    <row r="54"/>
    <row r="55"/>
    <row r="56"/>
    <row r="57"/>
    <row r="58"/>
    <row r="59"/>
    <row r="60"/>
    <row r="61"/>
    <row r="63">
      <c r="A63" s="97" t="s">
        <v>276</v>
      </c>
    </row>
    <row r="64"/>
    <row r="65"/>
    <row r="66"/>
    <row r="67"/>
    <row r="68"/>
    <row r="69"/>
    <row r="70"/>
    <row r="71"/>
    <row r="73">
      <c r="A73" s="97" t="s">
        <v>278</v>
      </c>
    </row>
    <row r="74"/>
    <row r="75"/>
    <row r="76"/>
    <row r="77"/>
    <row r="78"/>
    <row r="79"/>
    <row r="80"/>
    <row r="81"/>
    <row r="82"/>
    <row r="84">
      <c r="A84" s="97" t="s">
        <v>281</v>
      </c>
    </row>
    <row r="85"/>
    <row r="86"/>
    <row r="87"/>
    <row r="88"/>
    <row r="89"/>
    <row r="90"/>
    <row r="91"/>
    <row r="92"/>
    <row r="93"/>
    <row r="95">
      <c r="A95" s="97" t="s">
        <v>287</v>
      </c>
    </row>
    <row r="96"/>
    <row r="97"/>
    <row r="98"/>
    <row r="99"/>
    <row r="100"/>
    <row r="101"/>
    <row r="102"/>
    <row r="103"/>
    <row r="104"/>
    <row r="106">
      <c r="A106" s="97" t="s">
        <v>289</v>
      </c>
    </row>
    <row r="107"/>
    <row r="108"/>
    <row r="109"/>
    <row r="110"/>
    <row r="111"/>
    <row r="112"/>
    <row r="113"/>
    <row r="114"/>
    <row r="116">
      <c r="A116" s="97" t="s">
        <v>291</v>
      </c>
    </row>
    <row r="117"/>
    <row r="118"/>
    <row r="119"/>
    <row r="120"/>
    <row r="121"/>
    <row r="122"/>
    <row r="123"/>
    <row r="124"/>
    <row r="126">
      <c r="A126" s="97" t="s">
        <v>293</v>
      </c>
    </row>
    <row r="127"/>
    <row r="128"/>
    <row r="129"/>
    <row r="130"/>
    <row r="131"/>
    <row r="132"/>
    <row r="133"/>
    <row r="134"/>
    <row r="136">
      <c r="A136" s="97" t="s">
        <v>295</v>
      </c>
    </row>
    <row r="137"/>
    <row r="138"/>
    <row r="139"/>
    <row r="140"/>
    <row r="141"/>
    <row r="142"/>
    <row r="143"/>
    <row r="144"/>
    <row r="146">
      <c r="A146" s="97" t="s">
        <v>297</v>
      </c>
    </row>
    <row r="147"/>
    <row r="148"/>
    <row r="149"/>
    <row r="150"/>
    <row r="151"/>
    <row r="152"/>
    <row r="153"/>
    <row r="154"/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</row>
    <row r="156">
      <c r="A156" s="97" t="s">
        <v>299</v>
      </c>
    </row>
    <row r="157"/>
    <row r="158"/>
    <row r="159"/>
    <row r="160"/>
    <row r="161"/>
    <row r="162"/>
    <row r="163"/>
    <row r="164"/>
    <row r="165">
      <c r="A165" s="97"/>
    </row>
    <row r="166">
      <c r="A166" s="102" t="s">
        <v>301</v>
      </c>
    </row>
    <row r="167"/>
    <row r="168"/>
    <row r="169"/>
    <row r="170"/>
    <row r="171"/>
    <row r="172"/>
    <row r="173"/>
    <row r="174"/>
    <row r="175"/>
    <row r="177">
      <c r="A177" s="97" t="s">
        <v>304</v>
      </c>
    </row>
    <row r="178"/>
    <row r="179"/>
    <row r="180"/>
    <row r="181"/>
    <row r="182"/>
    <row r="183"/>
    <row r="184"/>
    <row r="185"/>
    <row r="187">
      <c r="A187" s="97" t="s">
        <v>306</v>
      </c>
    </row>
    <row r="188"/>
    <row r="189"/>
    <row r="190"/>
    <row r="191"/>
    <row r="192"/>
    <row r="193"/>
    <row r="194"/>
    <row r="195"/>
    <row r="197">
      <c r="A197" s="97" t="s">
        <v>308</v>
      </c>
    </row>
    <row r="198"/>
    <row r="199"/>
    <row r="200"/>
    <row r="201"/>
    <row r="202"/>
    <row r="203"/>
    <row r="204"/>
    <row r="205"/>
    <row r="209">
      <c r="A209" s="83">
        <v>1.0</v>
      </c>
      <c r="B209" s="98" t="s">
        <v>268</v>
      </c>
    </row>
    <row r="210">
      <c r="A210" s="83">
        <v>1.0</v>
      </c>
      <c r="B210" s="98" t="s">
        <v>270</v>
      </c>
    </row>
    <row r="211">
      <c r="A211" s="85">
        <v>2.0</v>
      </c>
      <c r="B211" s="98" t="s">
        <v>272</v>
      </c>
    </row>
    <row r="212">
      <c r="A212" s="85">
        <v>2.0</v>
      </c>
      <c r="B212" s="98" t="s">
        <v>274</v>
      </c>
    </row>
    <row r="213">
      <c r="A213" s="83">
        <v>1.0</v>
      </c>
      <c r="B213" s="98" t="s">
        <v>276</v>
      </c>
    </row>
    <row r="214">
      <c r="A214" s="83">
        <v>1.0</v>
      </c>
      <c r="B214" s="98" t="s">
        <v>278</v>
      </c>
    </row>
    <row r="215">
      <c r="A215" s="103">
        <v>4.0</v>
      </c>
      <c r="B215" s="98" t="s">
        <v>281</v>
      </c>
    </row>
    <row r="216">
      <c r="A216" s="103">
        <v>4.0</v>
      </c>
      <c r="B216" s="98" t="s">
        <v>287</v>
      </c>
    </row>
    <row r="217">
      <c r="A217" s="87">
        <v>3.0</v>
      </c>
      <c r="B217" s="98" t="s">
        <v>289</v>
      </c>
    </row>
    <row r="218">
      <c r="A218" s="87">
        <v>3.0</v>
      </c>
      <c r="B218" s="98" t="s">
        <v>291</v>
      </c>
    </row>
    <row r="219">
      <c r="A219" s="104">
        <v>5.0</v>
      </c>
      <c r="B219" s="98" t="s">
        <v>293</v>
      </c>
    </row>
    <row r="220">
      <c r="A220" s="104">
        <v>5.0</v>
      </c>
      <c r="B220" s="98" t="s">
        <v>295</v>
      </c>
    </row>
    <row r="221">
      <c r="A221" s="105">
        <v>6.0</v>
      </c>
      <c r="B221" s="98" t="s">
        <v>297</v>
      </c>
    </row>
    <row r="222">
      <c r="A222" s="105">
        <v>6.0</v>
      </c>
      <c r="B222" s="98" t="s">
        <v>303</v>
      </c>
    </row>
    <row r="223">
      <c r="A223" s="87">
        <v>3.0</v>
      </c>
      <c r="B223" s="98" t="s">
        <v>304</v>
      </c>
    </row>
    <row r="224">
      <c r="A224" s="87">
        <v>3.0</v>
      </c>
      <c r="B224" s="98" t="s">
        <v>306</v>
      </c>
    </row>
    <row r="225">
      <c r="A225" s="94">
        <v>7.0</v>
      </c>
      <c r="B225" s="98" t="s">
        <v>308</v>
      </c>
    </row>
  </sheetData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254</v>
      </c>
    </row>
    <row r="2">
      <c r="A2" s="76" t="s">
        <v>310</v>
      </c>
      <c r="B2" s="76" t="s">
        <v>311</v>
      </c>
    </row>
    <row r="3">
      <c r="A3" s="76" t="s">
        <v>261</v>
      </c>
      <c r="B3" s="106">
        <v>8.090909090909092</v>
      </c>
    </row>
    <row r="4">
      <c r="A4" s="76" t="s">
        <v>312</v>
      </c>
      <c r="B4" s="106">
        <v>8.0</v>
      </c>
    </row>
    <row r="5">
      <c r="A5" s="76" t="s">
        <v>257</v>
      </c>
      <c r="B5" s="106">
        <v>7.083333333333333</v>
      </c>
    </row>
    <row r="6">
      <c r="A6" s="76" t="s">
        <v>313</v>
      </c>
      <c r="B6" s="106">
        <v>6.2</v>
      </c>
    </row>
    <row r="7">
      <c r="A7" s="76" t="s">
        <v>314</v>
      </c>
      <c r="B7" s="106">
        <v>6.0</v>
      </c>
    </row>
    <row r="8">
      <c r="A8" s="76" t="s">
        <v>262</v>
      </c>
      <c r="B8" s="106">
        <v>5.7272727272727275</v>
      </c>
    </row>
    <row r="15">
      <c r="A15" s="107"/>
    </row>
    <row r="17">
      <c r="I17" s="108"/>
    </row>
    <row r="18">
      <c r="J18" s="109"/>
    </row>
    <row r="19">
      <c r="A19" s="76" t="s">
        <v>264</v>
      </c>
    </row>
    <row r="20">
      <c r="A20" s="76" t="s">
        <v>310</v>
      </c>
      <c r="B20" s="98" t="s">
        <v>267</v>
      </c>
      <c r="C20" s="98" t="s">
        <v>266</v>
      </c>
      <c r="J20" s="109"/>
    </row>
    <row r="21">
      <c r="A21" s="76" t="s">
        <v>261</v>
      </c>
      <c r="B21" s="100">
        <v>0.9090909090909091</v>
      </c>
      <c r="C21" s="100">
        <v>0.09090909090909091</v>
      </c>
      <c r="D21" s="100"/>
      <c r="E21" s="100"/>
    </row>
    <row r="22">
      <c r="A22" s="76" t="s">
        <v>258</v>
      </c>
      <c r="B22" s="100">
        <v>0.9</v>
      </c>
      <c r="C22" s="100">
        <v>0.1</v>
      </c>
      <c r="D22" s="100"/>
      <c r="E22" s="100"/>
    </row>
    <row r="23">
      <c r="A23" s="76" t="s">
        <v>257</v>
      </c>
      <c r="B23" s="100">
        <v>0.6666666666666666</v>
      </c>
      <c r="C23" s="100">
        <v>0.3333333333333333</v>
      </c>
      <c r="D23" s="100"/>
      <c r="E23" s="100"/>
    </row>
    <row r="24">
      <c r="A24" s="76" t="s">
        <v>259</v>
      </c>
      <c r="B24" s="100">
        <v>0.45454545454545453</v>
      </c>
      <c r="C24" s="100">
        <v>0.5454545454545454</v>
      </c>
      <c r="D24" s="100"/>
      <c r="E24" s="100"/>
    </row>
    <row r="25">
      <c r="A25" s="76" t="s">
        <v>260</v>
      </c>
      <c r="B25" s="100">
        <v>0.4444444444444444</v>
      </c>
      <c r="C25" s="100">
        <v>0.5555555555555556</v>
      </c>
      <c r="D25" s="100"/>
      <c r="E25" s="100"/>
    </row>
    <row r="26">
      <c r="A26" s="76" t="s">
        <v>262</v>
      </c>
      <c r="B26" s="100">
        <v>0.3</v>
      </c>
      <c r="C26" s="100">
        <v>0.7</v>
      </c>
      <c r="D26" s="100"/>
      <c r="E26" s="100"/>
    </row>
    <row r="38">
      <c r="A38" s="110" t="s">
        <v>268</v>
      </c>
    </row>
    <row r="39">
      <c r="A39" s="76" t="s">
        <v>310</v>
      </c>
      <c r="B39" s="76" t="s">
        <v>311</v>
      </c>
    </row>
    <row r="40">
      <c r="A40" s="76" t="s">
        <v>258</v>
      </c>
      <c r="B40" s="106">
        <v>3.5454545454545454</v>
      </c>
    </row>
    <row r="41">
      <c r="A41" s="76" t="s">
        <v>261</v>
      </c>
      <c r="B41" s="106">
        <v>3.3636363636363638</v>
      </c>
    </row>
    <row r="42">
      <c r="A42" s="76" t="s">
        <v>257</v>
      </c>
      <c r="B42" s="106">
        <v>3.1666666666666665</v>
      </c>
    </row>
    <row r="43">
      <c r="A43" s="76" t="s">
        <v>259</v>
      </c>
      <c r="B43" s="106">
        <v>3.090909090909091</v>
      </c>
    </row>
    <row r="44">
      <c r="A44" s="76" t="s">
        <v>262</v>
      </c>
      <c r="B44" s="106">
        <v>3.0</v>
      </c>
    </row>
    <row r="45">
      <c r="A45" s="76" t="s">
        <v>260</v>
      </c>
      <c r="B45" s="106">
        <v>2.6</v>
      </c>
    </row>
    <row r="54">
      <c r="A54" s="111" t="s">
        <v>270</v>
      </c>
    </row>
    <row r="55">
      <c r="A55" s="98" t="s">
        <v>255</v>
      </c>
      <c r="B55" s="112" t="s">
        <v>311</v>
      </c>
    </row>
    <row r="56">
      <c r="A56" s="112" t="s">
        <v>258</v>
      </c>
      <c r="B56" s="106">
        <v>2.090909090909091</v>
      </c>
    </row>
    <row r="57">
      <c r="A57" s="112" t="s">
        <v>261</v>
      </c>
      <c r="B57" s="106">
        <v>1.9090909090909092</v>
      </c>
    </row>
    <row r="58">
      <c r="A58" s="112" t="s">
        <v>259</v>
      </c>
      <c r="B58" s="106">
        <v>1.7272727272727273</v>
      </c>
    </row>
    <row r="59">
      <c r="A59" s="112" t="s">
        <v>260</v>
      </c>
      <c r="B59" s="106">
        <v>1.7</v>
      </c>
    </row>
    <row r="60">
      <c r="A60" s="112" t="s">
        <v>257</v>
      </c>
      <c r="B60" s="106">
        <v>1.5833333333333333</v>
      </c>
    </row>
    <row r="61">
      <c r="A61" s="112" t="s">
        <v>262</v>
      </c>
      <c r="B61" s="106">
        <v>1.5454545454545454</v>
      </c>
    </row>
    <row r="64">
      <c r="J64" s="108"/>
    </row>
    <row r="69">
      <c r="A69" s="111" t="s">
        <v>272</v>
      </c>
    </row>
    <row r="70">
      <c r="A70" s="98" t="s">
        <v>255</v>
      </c>
      <c r="B70" s="76" t="s">
        <v>311</v>
      </c>
    </row>
    <row r="71">
      <c r="A71" s="98" t="s">
        <v>259</v>
      </c>
      <c r="B71" s="106">
        <v>3.4545454545454546</v>
      </c>
    </row>
    <row r="72">
      <c r="A72" s="98" t="s">
        <v>258</v>
      </c>
      <c r="B72" s="106">
        <v>3.1818181818181817</v>
      </c>
    </row>
    <row r="73">
      <c r="A73" s="98" t="s">
        <v>261</v>
      </c>
      <c r="B73" s="106">
        <v>3.0</v>
      </c>
    </row>
    <row r="74">
      <c r="A74" s="98" t="s">
        <v>262</v>
      </c>
      <c r="B74" s="106">
        <v>2.727272727272727</v>
      </c>
    </row>
    <row r="75">
      <c r="A75" s="98" t="s">
        <v>257</v>
      </c>
      <c r="B75" s="106">
        <v>2.5833333333333335</v>
      </c>
    </row>
    <row r="76">
      <c r="A76" s="98" t="s">
        <v>260</v>
      </c>
      <c r="B76" s="106">
        <v>2.2</v>
      </c>
    </row>
    <row r="85">
      <c r="A85" s="111" t="s">
        <v>274</v>
      </c>
    </row>
    <row r="86">
      <c r="A86" s="98" t="s">
        <v>255</v>
      </c>
      <c r="B86" s="98" t="s">
        <v>266</v>
      </c>
      <c r="C86" s="98" t="s">
        <v>267</v>
      </c>
    </row>
    <row r="87">
      <c r="A87" s="98" t="s">
        <v>261</v>
      </c>
      <c r="B87" s="113">
        <v>0.0</v>
      </c>
      <c r="C87" s="100">
        <v>1.0</v>
      </c>
      <c r="D87" s="100"/>
      <c r="E87" s="100"/>
    </row>
    <row r="88">
      <c r="A88" s="98" t="s">
        <v>258</v>
      </c>
      <c r="B88" s="100">
        <v>0.09090909090909091</v>
      </c>
      <c r="C88" s="100">
        <v>0.9090909090909091</v>
      </c>
      <c r="D88" s="100"/>
      <c r="E88" s="100"/>
    </row>
    <row r="89">
      <c r="A89" s="98" t="s">
        <v>257</v>
      </c>
      <c r="B89" s="100">
        <v>0.45454545454545453</v>
      </c>
      <c r="C89" s="100">
        <v>0.5454545454545454</v>
      </c>
      <c r="D89" s="100"/>
      <c r="E89" s="100"/>
    </row>
    <row r="90">
      <c r="A90" s="98" t="s">
        <v>260</v>
      </c>
      <c r="B90" s="100">
        <v>0.5</v>
      </c>
      <c r="C90" s="100">
        <v>0.5</v>
      </c>
      <c r="D90" s="100"/>
      <c r="E90" s="100"/>
    </row>
    <row r="91">
      <c r="A91" s="98" t="s">
        <v>259</v>
      </c>
      <c r="B91" s="100">
        <v>0.5454545454545454</v>
      </c>
      <c r="C91" s="100">
        <v>0.45454545454545453</v>
      </c>
      <c r="D91" s="100"/>
      <c r="E91" s="100"/>
    </row>
    <row r="92">
      <c r="A92" s="98" t="s">
        <v>262</v>
      </c>
      <c r="B92" s="100">
        <v>0.6363636363636364</v>
      </c>
      <c r="C92" s="100">
        <v>0.36363636363636365</v>
      </c>
      <c r="D92" s="100"/>
      <c r="E92" s="100"/>
    </row>
    <row r="101">
      <c r="A101" s="111" t="s">
        <v>276</v>
      </c>
    </row>
    <row r="102">
      <c r="A102" s="98" t="s">
        <v>255</v>
      </c>
      <c r="B102" s="76" t="s">
        <v>311</v>
      </c>
    </row>
    <row r="103">
      <c r="A103" s="98" t="s">
        <v>258</v>
      </c>
      <c r="B103" s="106">
        <v>4.363636363636363</v>
      </c>
    </row>
    <row r="104">
      <c r="A104" s="98" t="s">
        <v>261</v>
      </c>
      <c r="B104" s="106">
        <v>4.181818181818182</v>
      </c>
    </row>
    <row r="105">
      <c r="A105" s="98" t="s">
        <v>259</v>
      </c>
      <c r="B105" s="106">
        <v>4.181818181818182</v>
      </c>
    </row>
    <row r="106">
      <c r="A106" s="98" t="s">
        <v>262</v>
      </c>
      <c r="B106" s="106">
        <v>4.090909090909091</v>
      </c>
    </row>
    <row r="107">
      <c r="A107" s="98" t="s">
        <v>257</v>
      </c>
      <c r="B107" s="106">
        <v>3.3333333333333335</v>
      </c>
    </row>
    <row r="108">
      <c r="A108" s="98" t="s">
        <v>260</v>
      </c>
      <c r="B108" s="106">
        <v>3.3</v>
      </c>
    </row>
    <row r="116">
      <c r="A116" s="111" t="s">
        <v>278</v>
      </c>
    </row>
    <row r="117">
      <c r="A117" s="98" t="s">
        <v>255</v>
      </c>
      <c r="B117" s="98" t="s">
        <v>266</v>
      </c>
      <c r="C117" s="98" t="s">
        <v>280</v>
      </c>
      <c r="D117" s="98" t="s">
        <v>267</v>
      </c>
    </row>
    <row r="118">
      <c r="A118" s="98" t="s">
        <v>258</v>
      </c>
      <c r="B118" s="100">
        <v>0.1</v>
      </c>
      <c r="C118" s="100">
        <v>0.2</v>
      </c>
      <c r="D118" s="100">
        <v>0.7</v>
      </c>
      <c r="E118" s="100"/>
    </row>
    <row r="119">
      <c r="A119" s="98" t="s">
        <v>261</v>
      </c>
      <c r="B119" s="100">
        <v>0.09090909090909091</v>
      </c>
      <c r="C119" s="100">
        <v>0.2727272727272727</v>
      </c>
      <c r="D119" s="100">
        <v>0.6363636363636364</v>
      </c>
      <c r="E119" s="100"/>
    </row>
    <row r="120">
      <c r="A120" s="98" t="s">
        <v>257</v>
      </c>
      <c r="B120" s="100">
        <v>0.18181818181818182</v>
      </c>
      <c r="C120" s="100">
        <v>0.2727272727272727</v>
      </c>
      <c r="D120" s="100">
        <v>0.5454545454545454</v>
      </c>
    </row>
    <row r="121">
      <c r="A121" s="98" t="s">
        <v>259</v>
      </c>
      <c r="B121" s="100">
        <v>0.09090909090909091</v>
      </c>
      <c r="C121" s="100">
        <v>0.45454545454545453</v>
      </c>
      <c r="D121" s="100">
        <v>0.45454545454545453</v>
      </c>
      <c r="E121" s="100"/>
    </row>
    <row r="122">
      <c r="A122" s="98" t="s">
        <v>260</v>
      </c>
      <c r="B122" s="100">
        <v>0.2222222222222222</v>
      </c>
      <c r="C122" s="100">
        <v>0.3333333333333333</v>
      </c>
      <c r="D122" s="100">
        <v>0.4444444444444444</v>
      </c>
      <c r="E122" s="100"/>
    </row>
    <row r="123">
      <c r="A123" s="98" t="s">
        <v>262</v>
      </c>
      <c r="B123" s="100">
        <v>0.09090909090909091</v>
      </c>
      <c r="C123" s="100">
        <v>0.45454545454545453</v>
      </c>
      <c r="D123" s="100">
        <v>0.45454545454545453</v>
      </c>
      <c r="E123" s="100"/>
    </row>
    <row r="124">
      <c r="E124" s="100"/>
    </row>
    <row r="132">
      <c r="A132" s="114" t="s">
        <v>282</v>
      </c>
      <c r="B132" s="98" t="s">
        <v>281</v>
      </c>
    </row>
    <row r="133">
      <c r="A133" s="98" t="s">
        <v>255</v>
      </c>
      <c r="B133" s="98" t="s">
        <v>284</v>
      </c>
      <c r="C133" s="98" t="s">
        <v>283</v>
      </c>
      <c r="D133" s="98" t="s">
        <v>286</v>
      </c>
      <c r="E133" s="98" t="s">
        <v>62</v>
      </c>
      <c r="F133" s="98" t="s">
        <v>285</v>
      </c>
    </row>
    <row r="134">
      <c r="A134" s="98" t="s">
        <v>257</v>
      </c>
      <c r="B134" s="100">
        <v>0.08333333333333333</v>
      </c>
      <c r="C134" s="100">
        <v>0.25</v>
      </c>
      <c r="D134" s="100">
        <v>0.08333333333333333</v>
      </c>
      <c r="E134" s="100">
        <v>0.5833333333333334</v>
      </c>
    </row>
    <row r="135">
      <c r="A135" s="98" t="s">
        <v>258</v>
      </c>
      <c r="C135" s="100">
        <v>0.2</v>
      </c>
      <c r="E135" s="100">
        <v>0.6</v>
      </c>
      <c r="F135" s="100">
        <v>0.2</v>
      </c>
    </row>
    <row r="136">
      <c r="A136" s="98" t="s">
        <v>259</v>
      </c>
      <c r="B136" s="100">
        <v>1.0</v>
      </c>
    </row>
    <row r="137">
      <c r="A137" s="98" t="s">
        <v>260</v>
      </c>
      <c r="B137" s="100">
        <v>0.1111111111111111</v>
      </c>
      <c r="C137" s="100">
        <v>0.4444444444444444</v>
      </c>
      <c r="D137" s="100">
        <v>0.1111111111111111</v>
      </c>
      <c r="E137" s="100">
        <v>0.2222222222222222</v>
      </c>
      <c r="F137" s="100">
        <v>0.1111111111111111</v>
      </c>
    </row>
    <row r="138">
      <c r="A138" s="98" t="s">
        <v>261</v>
      </c>
      <c r="C138" s="100">
        <v>0.09090909090909091</v>
      </c>
      <c r="E138" s="100">
        <v>0.5454545454545454</v>
      </c>
      <c r="F138" s="100">
        <v>0.36363636363636365</v>
      </c>
      <c r="J138" s="108"/>
    </row>
    <row r="139">
      <c r="A139" s="98" t="s">
        <v>262</v>
      </c>
      <c r="B139" s="100">
        <v>0.7272727272727273</v>
      </c>
      <c r="C139" s="100">
        <v>0.2727272727272727</v>
      </c>
    </row>
    <row r="145">
      <c r="K145" s="108"/>
    </row>
    <row r="150">
      <c r="A150" s="110" t="s">
        <v>287</v>
      </c>
    </row>
    <row r="151">
      <c r="A151" s="98" t="s">
        <v>255</v>
      </c>
      <c r="B151" s="98" t="s">
        <v>266</v>
      </c>
      <c r="C151" s="98" t="s">
        <v>280</v>
      </c>
      <c r="D151" s="98" t="s">
        <v>267</v>
      </c>
    </row>
    <row r="152">
      <c r="A152" s="98" t="s">
        <v>261</v>
      </c>
      <c r="C152" s="100">
        <v>0.36363636363636365</v>
      </c>
      <c r="D152" s="100">
        <v>0.6363636363636364</v>
      </c>
      <c r="Q152" s="100"/>
    </row>
    <row r="153">
      <c r="A153" s="98" t="s">
        <v>258</v>
      </c>
      <c r="B153" s="100">
        <v>0.2</v>
      </c>
      <c r="C153" s="100">
        <v>0.3</v>
      </c>
      <c r="D153" s="100">
        <v>0.5</v>
      </c>
      <c r="N153" s="100"/>
      <c r="O153" s="100"/>
      <c r="Q153" s="100"/>
      <c r="S153" s="100"/>
      <c r="T153" s="100"/>
      <c r="U153" s="100"/>
    </row>
    <row r="154">
      <c r="A154" s="98" t="s">
        <v>259</v>
      </c>
      <c r="C154" s="100">
        <v>0.6363636363636364</v>
      </c>
      <c r="D154" s="100">
        <v>0.36363636363636365</v>
      </c>
      <c r="M154" s="100"/>
      <c r="N154" s="100"/>
      <c r="O154" s="100"/>
      <c r="Q154" s="100"/>
      <c r="S154" s="100"/>
      <c r="T154" s="100"/>
      <c r="U154" s="100"/>
    </row>
    <row r="155">
      <c r="A155" s="98" t="s">
        <v>260</v>
      </c>
      <c r="C155" s="100">
        <v>0.6666666666666666</v>
      </c>
      <c r="D155" s="100">
        <v>0.3333333333333333</v>
      </c>
      <c r="N155" s="100"/>
      <c r="O155" s="100"/>
      <c r="Q155" s="100"/>
      <c r="S155" s="100"/>
      <c r="T155" s="100"/>
      <c r="U155" s="100"/>
    </row>
    <row r="156">
      <c r="A156" s="98" t="s">
        <v>257</v>
      </c>
      <c r="C156" s="100">
        <v>0.6666666666666666</v>
      </c>
      <c r="D156" s="100">
        <v>0.3333333333333333</v>
      </c>
      <c r="N156" s="100"/>
      <c r="O156" s="100"/>
      <c r="Q156" s="100"/>
      <c r="S156" s="100"/>
      <c r="T156" s="100"/>
      <c r="U156" s="100"/>
    </row>
    <row r="157">
      <c r="A157" s="98" t="s">
        <v>262</v>
      </c>
      <c r="C157" s="100">
        <v>0.7272727272727273</v>
      </c>
      <c r="D157" s="100">
        <v>0.2727272727272727</v>
      </c>
      <c r="N157" s="100"/>
      <c r="O157" s="100"/>
      <c r="Q157" s="100"/>
      <c r="S157" s="100"/>
      <c r="T157" s="100"/>
      <c r="U157" s="100"/>
    </row>
    <row r="158">
      <c r="N158" s="100"/>
      <c r="O158" s="100"/>
      <c r="Q158" s="100"/>
      <c r="S158" s="100"/>
      <c r="T158" s="100"/>
      <c r="U158" s="100"/>
    </row>
    <row r="166">
      <c r="A166" s="111" t="s">
        <v>289</v>
      </c>
    </row>
    <row r="167">
      <c r="A167" s="98" t="s">
        <v>255</v>
      </c>
      <c r="B167" s="76" t="s">
        <v>311</v>
      </c>
    </row>
    <row r="168">
      <c r="A168" s="98" t="s">
        <v>258</v>
      </c>
      <c r="B168" s="106">
        <v>3.8</v>
      </c>
      <c r="J168" s="108"/>
    </row>
    <row r="169">
      <c r="A169" s="98" t="s">
        <v>261</v>
      </c>
      <c r="B169" s="106">
        <v>3.6363636363636362</v>
      </c>
    </row>
    <row r="170">
      <c r="A170" s="98" t="s">
        <v>257</v>
      </c>
      <c r="B170" s="106">
        <v>3.272727272727273</v>
      </c>
    </row>
    <row r="171">
      <c r="A171" s="98" t="s">
        <v>260</v>
      </c>
      <c r="B171" s="106">
        <v>2.6666666666666665</v>
      </c>
    </row>
    <row r="172">
      <c r="A172" s="98" t="s">
        <v>259</v>
      </c>
      <c r="B172" s="106">
        <v>1.9090909090909092</v>
      </c>
    </row>
    <row r="173">
      <c r="A173" s="98" t="s">
        <v>262</v>
      </c>
      <c r="B173" s="106">
        <v>1.5454545454545454</v>
      </c>
    </row>
    <row r="181">
      <c r="A181" s="111" t="s">
        <v>291</v>
      </c>
    </row>
    <row r="182">
      <c r="A182" s="98" t="s">
        <v>255</v>
      </c>
      <c r="B182" s="76" t="s">
        <v>311</v>
      </c>
      <c r="J182" s="108"/>
    </row>
    <row r="183">
      <c r="A183" s="98" t="s">
        <v>258</v>
      </c>
      <c r="B183" s="106">
        <v>3.272727272727273</v>
      </c>
    </row>
    <row r="184">
      <c r="A184" s="98" t="s">
        <v>260</v>
      </c>
      <c r="B184" s="106">
        <v>2.9</v>
      </c>
    </row>
    <row r="185">
      <c r="A185" s="98" t="s">
        <v>257</v>
      </c>
      <c r="B185" s="106">
        <v>2.727272727272727</v>
      </c>
    </row>
    <row r="186">
      <c r="A186" s="98" t="s">
        <v>262</v>
      </c>
      <c r="B186" s="106">
        <v>2.4545454545454546</v>
      </c>
    </row>
    <row r="187">
      <c r="A187" s="98" t="s">
        <v>261</v>
      </c>
      <c r="B187" s="106">
        <v>2.3636363636363638</v>
      </c>
    </row>
    <row r="188">
      <c r="A188" s="98" t="s">
        <v>259</v>
      </c>
      <c r="B188" s="106">
        <v>1.9090909090909092</v>
      </c>
    </row>
    <row r="189">
      <c r="B189" s="106"/>
    </row>
    <row r="197">
      <c r="A197" s="115" t="s">
        <v>293</v>
      </c>
    </row>
    <row r="198">
      <c r="A198" s="98" t="s">
        <v>255</v>
      </c>
      <c r="B198" s="76" t="s">
        <v>311</v>
      </c>
    </row>
    <row r="199">
      <c r="A199" s="98" t="s">
        <v>258</v>
      </c>
      <c r="B199" s="106">
        <v>4.363636363636363</v>
      </c>
    </row>
    <row r="200">
      <c r="A200" s="98" t="s">
        <v>257</v>
      </c>
      <c r="B200" s="106">
        <v>4.166666666666667</v>
      </c>
    </row>
    <row r="201">
      <c r="A201" s="98" t="s">
        <v>260</v>
      </c>
      <c r="B201" s="106">
        <v>4.0</v>
      </c>
    </row>
    <row r="202">
      <c r="A202" s="98" t="s">
        <v>261</v>
      </c>
      <c r="B202" s="106">
        <v>3.727272727272727</v>
      </c>
    </row>
    <row r="203">
      <c r="A203" s="98" t="s">
        <v>262</v>
      </c>
      <c r="B203" s="106">
        <v>3.1818181818181817</v>
      </c>
    </row>
    <row r="204">
      <c r="A204" s="98" t="s">
        <v>259</v>
      </c>
      <c r="B204" s="106">
        <v>2.5454545454545454</v>
      </c>
    </row>
    <row r="211">
      <c r="A211" s="111" t="s">
        <v>295</v>
      </c>
    </row>
    <row r="212">
      <c r="A212" s="98" t="s">
        <v>255</v>
      </c>
      <c r="B212" s="76" t="s">
        <v>311</v>
      </c>
    </row>
    <row r="213">
      <c r="A213" s="98" t="s">
        <v>258</v>
      </c>
      <c r="B213" s="106">
        <v>4.444444444444445</v>
      </c>
    </row>
    <row r="214">
      <c r="A214" s="98" t="s">
        <v>259</v>
      </c>
      <c r="B214" s="106">
        <v>4.2727272727272725</v>
      </c>
    </row>
    <row r="215">
      <c r="A215" s="98" t="s">
        <v>257</v>
      </c>
      <c r="B215" s="106">
        <v>3.75</v>
      </c>
    </row>
    <row r="216">
      <c r="A216" s="98" t="s">
        <v>260</v>
      </c>
      <c r="B216" s="106">
        <v>3.6</v>
      </c>
    </row>
    <row r="217">
      <c r="A217" s="98" t="s">
        <v>262</v>
      </c>
      <c r="B217" s="106">
        <v>3.5454545454545454</v>
      </c>
    </row>
    <row r="218">
      <c r="A218" s="98" t="s">
        <v>261</v>
      </c>
      <c r="B218" s="106">
        <v>3.0</v>
      </c>
    </row>
    <row r="226">
      <c r="A226" s="111" t="s">
        <v>297</v>
      </c>
    </row>
    <row r="227">
      <c r="A227" s="98" t="s">
        <v>255</v>
      </c>
      <c r="B227" s="76" t="s">
        <v>315</v>
      </c>
    </row>
    <row r="228">
      <c r="A228" s="98" t="s">
        <v>258</v>
      </c>
      <c r="B228" s="106">
        <v>4.181818181818182</v>
      </c>
    </row>
    <row r="229">
      <c r="A229" s="98" t="s">
        <v>261</v>
      </c>
      <c r="B229" s="106">
        <v>3.727272727272727</v>
      </c>
    </row>
    <row r="230">
      <c r="A230" s="98" t="s">
        <v>257</v>
      </c>
      <c r="B230" s="106">
        <v>3.5</v>
      </c>
    </row>
    <row r="231">
      <c r="A231" s="98" t="s">
        <v>259</v>
      </c>
      <c r="B231" s="106">
        <v>3.3636363636363638</v>
      </c>
    </row>
    <row r="232">
      <c r="A232" s="98" t="s">
        <v>260</v>
      </c>
      <c r="B232" s="106">
        <v>3.2</v>
      </c>
    </row>
    <row r="233">
      <c r="A233" s="98" t="s">
        <v>262</v>
      </c>
      <c r="B233" s="106">
        <v>3.090909090909091</v>
      </c>
    </row>
    <row r="241">
      <c r="A241" s="110" t="s">
        <v>299</v>
      </c>
    </row>
    <row r="242">
      <c r="A242" s="98" t="s">
        <v>255</v>
      </c>
      <c r="B242" s="76" t="s">
        <v>315</v>
      </c>
    </row>
    <row r="243">
      <c r="A243" s="98" t="s">
        <v>258</v>
      </c>
      <c r="B243" s="106">
        <v>4.545454545454546</v>
      </c>
    </row>
    <row r="244">
      <c r="A244" s="98" t="s">
        <v>261</v>
      </c>
      <c r="B244" s="106">
        <v>4.090909090909091</v>
      </c>
    </row>
    <row r="245">
      <c r="A245" s="98" t="s">
        <v>259</v>
      </c>
      <c r="B245" s="106">
        <v>4.0</v>
      </c>
    </row>
    <row r="246">
      <c r="A246" s="98" t="s">
        <v>257</v>
      </c>
      <c r="B246" s="106">
        <v>3.75</v>
      </c>
    </row>
    <row r="247">
      <c r="A247" s="98" t="s">
        <v>262</v>
      </c>
      <c r="B247" s="106">
        <v>3.4545454545454546</v>
      </c>
    </row>
    <row r="248">
      <c r="A248" s="98" t="s">
        <v>260</v>
      </c>
      <c r="B248" s="106">
        <v>3.1</v>
      </c>
    </row>
    <row r="256">
      <c r="A256" s="112" t="s">
        <v>301</v>
      </c>
    </row>
    <row r="257">
      <c r="A257" s="98" t="s">
        <v>255</v>
      </c>
      <c r="B257" s="98" t="s">
        <v>266</v>
      </c>
      <c r="C257" s="98" t="s">
        <v>267</v>
      </c>
    </row>
    <row r="258">
      <c r="A258" s="98" t="s">
        <v>258</v>
      </c>
      <c r="B258" s="113">
        <v>0.0</v>
      </c>
      <c r="C258" s="100">
        <v>1.0</v>
      </c>
    </row>
    <row r="259">
      <c r="A259" s="98" t="s">
        <v>261</v>
      </c>
      <c r="B259" s="100">
        <v>0.09090909090909091</v>
      </c>
      <c r="C259" s="100">
        <v>0.9090909090909091</v>
      </c>
    </row>
    <row r="260">
      <c r="A260" s="98" t="s">
        <v>262</v>
      </c>
      <c r="B260" s="100">
        <v>0.2</v>
      </c>
      <c r="C260" s="100">
        <v>0.8</v>
      </c>
    </row>
    <row r="261">
      <c r="A261" s="98" t="s">
        <v>260</v>
      </c>
      <c r="B261" s="100">
        <v>0.2222222222222222</v>
      </c>
      <c r="C261" s="100">
        <v>0.7777777777777778</v>
      </c>
    </row>
    <row r="262">
      <c r="A262" s="98" t="s">
        <v>257</v>
      </c>
      <c r="B262" s="100">
        <v>0.25</v>
      </c>
      <c r="C262" s="100">
        <v>0.75</v>
      </c>
    </row>
    <row r="263">
      <c r="A263" s="98" t="s">
        <v>259</v>
      </c>
      <c r="B263" s="100">
        <v>0.3</v>
      </c>
      <c r="C263" s="100">
        <v>0.7</v>
      </c>
    </row>
    <row r="272">
      <c r="A272" s="111" t="s">
        <v>304</v>
      </c>
    </row>
    <row r="273">
      <c r="A273" s="98" t="s">
        <v>255</v>
      </c>
      <c r="B273" s="76" t="s">
        <v>315</v>
      </c>
    </row>
    <row r="274">
      <c r="A274" s="98" t="s">
        <v>261</v>
      </c>
      <c r="B274" s="106">
        <v>2.5454545454545454</v>
      </c>
    </row>
    <row r="275">
      <c r="A275" s="98" t="s">
        <v>257</v>
      </c>
      <c r="B275" s="106">
        <v>2.3333333333333335</v>
      </c>
    </row>
    <row r="276">
      <c r="A276" s="98" t="s">
        <v>259</v>
      </c>
      <c r="B276" s="106">
        <v>1.9090909090909092</v>
      </c>
    </row>
    <row r="277">
      <c r="A277" s="98" t="s">
        <v>258</v>
      </c>
      <c r="B277" s="106">
        <v>1.3</v>
      </c>
    </row>
    <row r="278">
      <c r="A278" s="98" t="s">
        <v>262</v>
      </c>
      <c r="B278" s="106">
        <v>1.2727272727272727</v>
      </c>
    </row>
    <row r="279">
      <c r="A279" s="98" t="s">
        <v>260</v>
      </c>
      <c r="B279" s="106">
        <v>1.2222222222222223</v>
      </c>
    </row>
    <row r="281">
      <c r="I281" s="108"/>
    </row>
    <row r="287">
      <c r="A287" s="115" t="s">
        <v>306</v>
      </c>
    </row>
    <row r="288">
      <c r="A288" s="98" t="s">
        <v>255</v>
      </c>
      <c r="B288" s="76" t="s">
        <v>316</v>
      </c>
    </row>
    <row r="289">
      <c r="A289" s="98" t="s">
        <v>261</v>
      </c>
      <c r="B289" s="106">
        <v>3.6</v>
      </c>
    </row>
    <row r="290">
      <c r="A290" s="98" t="s">
        <v>260</v>
      </c>
      <c r="B290" s="106">
        <v>3.1</v>
      </c>
    </row>
    <row r="291">
      <c r="A291" s="98" t="s">
        <v>257</v>
      </c>
      <c r="B291" s="106">
        <v>2.4166666666666665</v>
      </c>
    </row>
    <row r="292">
      <c r="A292" s="98" t="s">
        <v>259</v>
      </c>
      <c r="B292" s="106">
        <v>2.4</v>
      </c>
    </row>
    <row r="293">
      <c r="A293" s="98" t="s">
        <v>258</v>
      </c>
      <c r="B293" s="106">
        <v>2.3</v>
      </c>
    </row>
    <row r="294">
      <c r="A294" s="98" t="s">
        <v>262</v>
      </c>
      <c r="B294" s="106">
        <v>1.8</v>
      </c>
    </row>
    <row r="302">
      <c r="A302" s="111" t="s">
        <v>308</v>
      </c>
    </row>
    <row r="303">
      <c r="A303" s="98" t="s">
        <v>255</v>
      </c>
      <c r="B303" s="76" t="s">
        <v>315</v>
      </c>
    </row>
    <row r="304">
      <c r="A304" s="98" t="s">
        <v>261</v>
      </c>
      <c r="B304" s="106">
        <v>2.6363636363636362</v>
      </c>
    </row>
    <row r="305">
      <c r="A305" s="98" t="s">
        <v>262</v>
      </c>
      <c r="B305" s="106">
        <v>2.6363636363636362</v>
      </c>
    </row>
    <row r="306">
      <c r="A306" s="98" t="s">
        <v>258</v>
      </c>
      <c r="B306" s="106">
        <v>2.5</v>
      </c>
    </row>
    <row r="307">
      <c r="A307" s="98" t="s">
        <v>260</v>
      </c>
      <c r="B307" s="106">
        <v>2.5</v>
      </c>
    </row>
    <row r="308">
      <c r="A308" s="98" t="s">
        <v>257</v>
      </c>
      <c r="B308" s="106">
        <v>2.3636363636363638</v>
      </c>
    </row>
    <row r="309">
      <c r="A309" s="98" t="s">
        <v>259</v>
      </c>
      <c r="B309" s="106">
        <v>2.272727272727273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9" width="19.38"/>
  </cols>
  <sheetData>
    <row r="1">
      <c r="A1" s="116" t="s">
        <v>257</v>
      </c>
    </row>
    <row r="2">
      <c r="A2" s="97" t="s">
        <v>317</v>
      </c>
    </row>
    <row r="3">
      <c r="A3" s="76" t="s">
        <v>318</v>
      </c>
    </row>
    <row r="4">
      <c r="A4" s="76" t="s">
        <v>319</v>
      </c>
    </row>
    <row r="5">
      <c r="A5" s="76" t="s">
        <v>320</v>
      </c>
    </row>
    <row r="6">
      <c r="A6" s="76" t="s">
        <v>321</v>
      </c>
    </row>
    <row r="7">
      <c r="A7" s="76" t="s">
        <v>322</v>
      </c>
    </row>
    <row r="9">
      <c r="A9" s="116" t="s">
        <v>258</v>
      </c>
    </row>
    <row r="10">
      <c r="A10" s="97" t="s">
        <v>317</v>
      </c>
    </row>
    <row r="11">
      <c r="A11" s="76" t="s">
        <v>323</v>
      </c>
    </row>
    <row r="12">
      <c r="A12" s="76" t="s">
        <v>324</v>
      </c>
    </row>
    <row r="13">
      <c r="A13" s="76" t="s">
        <v>325</v>
      </c>
    </row>
    <row r="14">
      <c r="A14" s="76" t="s">
        <v>326</v>
      </c>
    </row>
    <row r="15">
      <c r="A15" s="76" t="s">
        <v>327</v>
      </c>
    </row>
    <row r="16">
      <c r="A16" s="76" t="s">
        <v>328</v>
      </c>
    </row>
    <row r="17">
      <c r="A17" s="76" t="s">
        <v>329</v>
      </c>
    </row>
    <row r="18">
      <c r="A18" s="76" t="s">
        <v>330</v>
      </c>
    </row>
    <row r="20">
      <c r="A20" s="116" t="s">
        <v>259</v>
      </c>
    </row>
    <row r="21">
      <c r="A21" s="97" t="s">
        <v>317</v>
      </c>
    </row>
    <row r="22">
      <c r="A22" s="76" t="s">
        <v>331</v>
      </c>
    </row>
    <row r="23">
      <c r="A23" s="76" t="s">
        <v>332</v>
      </c>
    </row>
    <row r="24">
      <c r="A24" s="76" t="s">
        <v>333</v>
      </c>
    </row>
    <row r="25">
      <c r="A25" s="76" t="s">
        <v>334</v>
      </c>
    </row>
    <row r="26">
      <c r="A26" s="76" t="s">
        <v>335</v>
      </c>
    </row>
    <row r="27">
      <c r="A27" s="76" t="s">
        <v>336</v>
      </c>
    </row>
    <row r="28">
      <c r="A28" s="76" t="s">
        <v>337</v>
      </c>
    </row>
    <row r="29">
      <c r="A29" s="76" t="s">
        <v>338</v>
      </c>
    </row>
    <row r="31">
      <c r="A31" s="116" t="s">
        <v>260</v>
      </c>
    </row>
    <row r="32">
      <c r="A32" s="97" t="s">
        <v>317</v>
      </c>
    </row>
    <row r="33">
      <c r="A33" s="76" t="s">
        <v>339</v>
      </c>
    </row>
    <row r="34">
      <c r="A34" s="76" t="s">
        <v>340</v>
      </c>
    </row>
    <row r="35">
      <c r="A35" s="76" t="s">
        <v>341</v>
      </c>
    </row>
    <row r="36">
      <c r="A36" s="76" t="s">
        <v>342</v>
      </c>
    </row>
    <row r="37">
      <c r="A37" s="76" t="s">
        <v>343</v>
      </c>
    </row>
    <row r="38">
      <c r="A38" s="76" t="s">
        <v>344</v>
      </c>
    </row>
    <row r="40">
      <c r="A40" s="116" t="s">
        <v>261</v>
      </c>
    </row>
    <row r="41">
      <c r="A41" s="97" t="s">
        <v>317</v>
      </c>
    </row>
    <row r="42">
      <c r="A42" s="76" t="s">
        <v>345</v>
      </c>
    </row>
    <row r="43">
      <c r="A43" s="76" t="s">
        <v>346</v>
      </c>
    </row>
    <row r="44">
      <c r="A44" s="76" t="s">
        <v>347</v>
      </c>
    </row>
    <row r="45">
      <c r="A45" s="76" t="s">
        <v>348</v>
      </c>
    </row>
    <row r="46">
      <c r="A46" s="76" t="s">
        <v>349</v>
      </c>
    </row>
    <row r="47">
      <c r="A47" s="76" t="s">
        <v>350</v>
      </c>
    </row>
    <row r="49">
      <c r="A49" s="116" t="s">
        <v>262</v>
      </c>
    </row>
    <row r="50">
      <c r="A50" s="97" t="s">
        <v>317</v>
      </c>
    </row>
    <row r="51">
      <c r="A51" s="76" t="s">
        <v>351</v>
      </c>
    </row>
    <row r="52">
      <c r="A52" s="76" t="s">
        <v>352</v>
      </c>
    </row>
    <row r="53">
      <c r="A53" s="76" t="s">
        <v>353</v>
      </c>
    </row>
    <row r="54">
      <c r="A54" s="76" t="s">
        <v>354</v>
      </c>
    </row>
    <row r="55">
      <c r="A55" s="76" t="s">
        <v>355</v>
      </c>
    </row>
    <row r="56">
      <c r="A56" s="76" t="s">
        <v>356</v>
      </c>
    </row>
    <row r="57">
      <c r="A57" s="76" t="s">
        <v>357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1" width="30.13"/>
  </cols>
  <sheetData>
    <row r="1" ht="22.5" customHeight="1">
      <c r="A1" s="117" t="s">
        <v>358</v>
      </c>
      <c r="B1" s="117" t="s">
        <v>255</v>
      </c>
      <c r="C1" s="117" t="s">
        <v>359</v>
      </c>
      <c r="D1" s="117" t="s">
        <v>268</v>
      </c>
      <c r="E1" s="117" t="s">
        <v>270</v>
      </c>
      <c r="F1" s="117" t="s">
        <v>272</v>
      </c>
      <c r="G1" s="117" t="s">
        <v>274</v>
      </c>
      <c r="H1" s="118" t="s">
        <v>276</v>
      </c>
      <c r="I1" s="117" t="s">
        <v>278</v>
      </c>
      <c r="J1" s="117" t="s">
        <v>281</v>
      </c>
      <c r="K1" s="117" t="s">
        <v>287</v>
      </c>
      <c r="L1" s="117" t="s">
        <v>289</v>
      </c>
      <c r="M1" s="117" t="s">
        <v>291</v>
      </c>
      <c r="N1" s="117" t="s">
        <v>293</v>
      </c>
      <c r="O1" s="117" t="s">
        <v>295</v>
      </c>
      <c r="P1" s="117" t="s">
        <v>297</v>
      </c>
      <c r="Q1" s="117" t="s">
        <v>303</v>
      </c>
      <c r="R1" s="117" t="s">
        <v>304</v>
      </c>
      <c r="S1" s="117" t="s">
        <v>306</v>
      </c>
      <c r="T1" s="117" t="s">
        <v>308</v>
      </c>
      <c r="U1" s="117" t="s">
        <v>360</v>
      </c>
      <c r="V1" s="117" t="s">
        <v>254</v>
      </c>
      <c r="W1" s="117" t="s">
        <v>264</v>
      </c>
      <c r="X1" s="117" t="s">
        <v>317</v>
      </c>
      <c r="Y1" s="119" t="s">
        <v>299</v>
      </c>
    </row>
    <row r="2" ht="22.5" customHeight="1">
      <c r="A2" s="120">
        <v>45582.39085034722</v>
      </c>
      <c r="B2" s="121" t="s">
        <v>361</v>
      </c>
      <c r="C2" s="121" t="s">
        <v>362</v>
      </c>
      <c r="D2" s="121" t="s">
        <v>363</v>
      </c>
      <c r="E2" s="121" t="s">
        <v>364</v>
      </c>
      <c r="F2" s="121" t="s">
        <v>365</v>
      </c>
      <c r="G2" s="121" t="s">
        <v>266</v>
      </c>
      <c r="H2" s="121">
        <v>2.0</v>
      </c>
      <c r="I2" s="121" t="s">
        <v>267</v>
      </c>
      <c r="J2" s="121" t="s">
        <v>283</v>
      </c>
      <c r="K2" s="121" t="s">
        <v>280</v>
      </c>
      <c r="L2" s="121" t="s">
        <v>366</v>
      </c>
      <c r="M2" s="121" t="s">
        <v>367</v>
      </c>
      <c r="N2" s="121" t="s">
        <v>368</v>
      </c>
      <c r="O2" s="121" t="s">
        <v>369</v>
      </c>
      <c r="P2" s="121">
        <v>2.0</v>
      </c>
      <c r="Q2" s="121" t="s">
        <v>266</v>
      </c>
      <c r="R2" s="121" t="s">
        <v>370</v>
      </c>
      <c r="S2" s="121" t="s">
        <v>370</v>
      </c>
      <c r="U2" s="121" t="s">
        <v>371</v>
      </c>
      <c r="V2" s="121">
        <v>6.0</v>
      </c>
      <c r="W2" s="121" t="s">
        <v>266</v>
      </c>
      <c r="Y2" s="121">
        <v>3.0</v>
      </c>
    </row>
    <row r="3" ht="22.5" customHeight="1">
      <c r="A3" s="120">
        <v>45582.39135304398</v>
      </c>
      <c r="B3" s="121" t="s">
        <v>361</v>
      </c>
      <c r="C3" s="121" t="s">
        <v>372</v>
      </c>
      <c r="D3" s="121" t="s">
        <v>363</v>
      </c>
      <c r="E3" s="121" t="s">
        <v>364</v>
      </c>
      <c r="F3" s="121" t="s">
        <v>373</v>
      </c>
      <c r="G3" s="121" t="s">
        <v>266</v>
      </c>
      <c r="H3" s="121">
        <v>1.0</v>
      </c>
      <c r="I3" s="121" t="s">
        <v>280</v>
      </c>
      <c r="J3" s="121" t="s">
        <v>62</v>
      </c>
      <c r="K3" s="121" t="s">
        <v>280</v>
      </c>
      <c r="L3" s="121" t="s">
        <v>366</v>
      </c>
      <c r="M3" s="121" t="s">
        <v>374</v>
      </c>
      <c r="N3" s="121" t="s">
        <v>375</v>
      </c>
      <c r="O3" s="121" t="s">
        <v>376</v>
      </c>
      <c r="P3" s="121">
        <v>2.0</v>
      </c>
      <c r="Q3" s="121" t="s">
        <v>267</v>
      </c>
      <c r="R3" s="121" t="s">
        <v>370</v>
      </c>
      <c r="S3" s="121" t="s">
        <v>370</v>
      </c>
      <c r="T3" s="121" t="s">
        <v>377</v>
      </c>
      <c r="U3" s="121" t="s">
        <v>378</v>
      </c>
      <c r="V3" s="121">
        <v>5.0</v>
      </c>
      <c r="W3" s="121" t="s">
        <v>266</v>
      </c>
      <c r="X3" s="121" t="s">
        <v>318</v>
      </c>
      <c r="Y3" s="121">
        <v>3.0</v>
      </c>
    </row>
    <row r="4" ht="22.5" customHeight="1">
      <c r="A4" s="120">
        <v>45582.39743561343</v>
      </c>
      <c r="B4" s="121" t="s">
        <v>361</v>
      </c>
      <c r="C4" s="121" t="s">
        <v>379</v>
      </c>
      <c r="D4" s="121" t="s">
        <v>380</v>
      </c>
      <c r="E4" s="121" t="s">
        <v>364</v>
      </c>
      <c r="F4" s="121" t="s">
        <v>365</v>
      </c>
      <c r="G4" s="121" t="s">
        <v>267</v>
      </c>
      <c r="H4" s="121">
        <v>3.0</v>
      </c>
      <c r="I4" s="121" t="s">
        <v>266</v>
      </c>
      <c r="J4" s="121" t="s">
        <v>62</v>
      </c>
      <c r="K4" s="121" t="s">
        <v>267</v>
      </c>
      <c r="L4" s="121" t="s">
        <v>381</v>
      </c>
      <c r="M4" s="121" t="s">
        <v>367</v>
      </c>
      <c r="N4" s="121" t="s">
        <v>382</v>
      </c>
      <c r="O4" s="121" t="s">
        <v>369</v>
      </c>
      <c r="P4" s="121">
        <v>4.0</v>
      </c>
      <c r="Q4" s="121" t="s">
        <v>267</v>
      </c>
      <c r="R4" s="121" t="s">
        <v>383</v>
      </c>
      <c r="S4" s="121" t="s">
        <v>384</v>
      </c>
      <c r="T4" s="121" t="s">
        <v>377</v>
      </c>
      <c r="U4" s="121" t="s">
        <v>385</v>
      </c>
      <c r="V4" s="121">
        <v>7.0</v>
      </c>
      <c r="W4" s="121" t="s">
        <v>267</v>
      </c>
      <c r="Y4" s="121">
        <v>4.0</v>
      </c>
    </row>
    <row r="5" ht="22.5" customHeight="1">
      <c r="A5" s="120">
        <v>45582.39814604167</v>
      </c>
      <c r="B5" s="121" t="s">
        <v>361</v>
      </c>
      <c r="C5" s="121" t="s">
        <v>386</v>
      </c>
      <c r="D5" s="121" t="s">
        <v>363</v>
      </c>
      <c r="E5" s="121" t="s">
        <v>387</v>
      </c>
      <c r="F5" s="121" t="s">
        <v>365</v>
      </c>
      <c r="G5" s="121" t="s">
        <v>266</v>
      </c>
      <c r="H5" s="121">
        <v>3.0</v>
      </c>
      <c r="I5" s="121" t="s">
        <v>267</v>
      </c>
      <c r="J5" s="121" t="s">
        <v>284</v>
      </c>
      <c r="K5" s="121" t="s">
        <v>280</v>
      </c>
      <c r="L5" s="121" t="s">
        <v>388</v>
      </c>
      <c r="M5" s="121" t="s">
        <v>389</v>
      </c>
      <c r="N5" s="121" t="s">
        <v>375</v>
      </c>
      <c r="O5" s="121" t="s">
        <v>369</v>
      </c>
      <c r="P5" s="121">
        <v>4.0</v>
      </c>
      <c r="Q5" s="121" t="s">
        <v>267</v>
      </c>
      <c r="R5" s="121" t="s">
        <v>370</v>
      </c>
      <c r="S5" s="121" t="s">
        <v>370</v>
      </c>
      <c r="T5" s="121" t="s">
        <v>377</v>
      </c>
      <c r="U5" s="121" t="s">
        <v>390</v>
      </c>
      <c r="V5" s="121">
        <v>5.0</v>
      </c>
      <c r="W5" s="121" t="s">
        <v>266</v>
      </c>
      <c r="Y5" s="121">
        <v>4.0</v>
      </c>
    </row>
    <row r="6" ht="22.5" customHeight="1">
      <c r="A6" s="120">
        <v>45582.39876601852</v>
      </c>
      <c r="B6" s="121" t="s">
        <v>361</v>
      </c>
      <c r="C6" s="121" t="s">
        <v>391</v>
      </c>
      <c r="D6" s="121" t="s">
        <v>363</v>
      </c>
      <c r="E6" s="121" t="s">
        <v>364</v>
      </c>
      <c r="F6" s="121" t="s">
        <v>392</v>
      </c>
      <c r="G6" s="121" t="s">
        <v>266</v>
      </c>
      <c r="H6" s="121">
        <v>3.0</v>
      </c>
      <c r="I6" s="121" t="s">
        <v>267</v>
      </c>
      <c r="J6" s="121" t="s">
        <v>283</v>
      </c>
      <c r="K6" s="121" t="s">
        <v>280</v>
      </c>
      <c r="L6" s="121" t="s">
        <v>366</v>
      </c>
      <c r="M6" s="121" t="s">
        <v>367</v>
      </c>
      <c r="N6" s="121" t="s">
        <v>368</v>
      </c>
      <c r="O6" s="121" t="s">
        <v>369</v>
      </c>
      <c r="P6" s="121">
        <v>2.0</v>
      </c>
      <c r="Q6" s="121" t="s">
        <v>266</v>
      </c>
      <c r="R6" s="121" t="s">
        <v>393</v>
      </c>
      <c r="S6" s="121" t="s">
        <v>370</v>
      </c>
      <c r="T6" s="121" t="s">
        <v>377</v>
      </c>
      <c r="U6" s="121" t="s">
        <v>394</v>
      </c>
      <c r="V6" s="121">
        <v>6.0</v>
      </c>
      <c r="W6" s="121" t="s">
        <v>266</v>
      </c>
      <c r="X6" s="121" t="s">
        <v>319</v>
      </c>
      <c r="Y6" s="121">
        <v>3.0</v>
      </c>
    </row>
    <row r="7" ht="22.5" customHeight="1">
      <c r="A7" s="120">
        <v>45582.3987871875</v>
      </c>
      <c r="B7" s="121" t="s">
        <v>361</v>
      </c>
      <c r="C7" s="121" t="s">
        <v>395</v>
      </c>
      <c r="D7" s="121" t="s">
        <v>363</v>
      </c>
      <c r="E7" s="121" t="s">
        <v>387</v>
      </c>
      <c r="F7" s="121" t="s">
        <v>365</v>
      </c>
      <c r="H7" s="121">
        <v>3.0</v>
      </c>
      <c r="J7" s="121" t="s">
        <v>62</v>
      </c>
      <c r="K7" s="121" t="s">
        <v>280</v>
      </c>
      <c r="L7" s="121" t="s">
        <v>388</v>
      </c>
      <c r="M7" s="121" t="s">
        <v>367</v>
      </c>
      <c r="N7" s="121" t="s">
        <v>368</v>
      </c>
      <c r="O7" s="121" t="s">
        <v>396</v>
      </c>
      <c r="P7" s="121">
        <v>3.0</v>
      </c>
      <c r="Q7" s="121" t="s">
        <v>267</v>
      </c>
      <c r="R7" s="121" t="s">
        <v>393</v>
      </c>
      <c r="S7" s="121" t="s">
        <v>370</v>
      </c>
      <c r="T7" s="121" t="s">
        <v>397</v>
      </c>
      <c r="U7" s="121" t="s">
        <v>398</v>
      </c>
      <c r="V7" s="121">
        <v>6.0</v>
      </c>
      <c r="W7" s="121" t="s">
        <v>267</v>
      </c>
      <c r="X7" s="121" t="s">
        <v>320</v>
      </c>
      <c r="Y7" s="121">
        <v>3.0</v>
      </c>
    </row>
    <row r="8" ht="22.5" customHeight="1">
      <c r="A8" s="120">
        <v>45582.39895685185</v>
      </c>
      <c r="B8" s="121" t="s">
        <v>361</v>
      </c>
      <c r="C8" s="121" t="s">
        <v>399</v>
      </c>
      <c r="D8" s="121" t="s">
        <v>363</v>
      </c>
      <c r="E8" s="121" t="s">
        <v>364</v>
      </c>
      <c r="F8" s="121" t="s">
        <v>365</v>
      </c>
      <c r="G8" s="121" t="s">
        <v>267</v>
      </c>
      <c r="H8" s="121">
        <v>4.0</v>
      </c>
      <c r="I8" s="121" t="s">
        <v>280</v>
      </c>
      <c r="J8" s="121" t="s">
        <v>286</v>
      </c>
      <c r="K8" s="121" t="s">
        <v>280</v>
      </c>
      <c r="L8" s="121" t="s">
        <v>366</v>
      </c>
      <c r="M8" s="121" t="s">
        <v>367</v>
      </c>
      <c r="N8" s="121" t="s">
        <v>382</v>
      </c>
      <c r="O8" s="121" t="s">
        <v>400</v>
      </c>
      <c r="P8" s="121">
        <v>4.0</v>
      </c>
      <c r="Q8" s="121" t="s">
        <v>267</v>
      </c>
      <c r="R8" s="121" t="s">
        <v>401</v>
      </c>
      <c r="S8" s="121" t="s">
        <v>384</v>
      </c>
      <c r="T8" s="121" t="s">
        <v>402</v>
      </c>
      <c r="U8" s="121" t="s">
        <v>403</v>
      </c>
      <c r="V8" s="121">
        <v>8.0</v>
      </c>
      <c r="W8" s="121" t="s">
        <v>267</v>
      </c>
      <c r="X8" s="121" t="s">
        <v>404</v>
      </c>
      <c r="Y8" s="121">
        <v>4.0</v>
      </c>
    </row>
    <row r="9" ht="22.5" customHeight="1">
      <c r="A9" s="120">
        <v>45582.39926493056</v>
      </c>
      <c r="B9" s="121" t="s">
        <v>361</v>
      </c>
      <c r="C9" s="121" t="s">
        <v>405</v>
      </c>
      <c r="D9" s="121" t="s">
        <v>406</v>
      </c>
      <c r="E9" s="121" t="s">
        <v>364</v>
      </c>
      <c r="F9" s="121" t="s">
        <v>392</v>
      </c>
      <c r="G9" s="121" t="s">
        <v>267</v>
      </c>
      <c r="H9" s="121">
        <v>3.0</v>
      </c>
      <c r="I9" s="121" t="s">
        <v>267</v>
      </c>
      <c r="J9" s="121" t="s">
        <v>283</v>
      </c>
      <c r="K9" s="121" t="s">
        <v>267</v>
      </c>
      <c r="N9" s="121" t="s">
        <v>375</v>
      </c>
      <c r="O9" s="121" t="s">
        <v>407</v>
      </c>
      <c r="P9" s="121">
        <v>4.0</v>
      </c>
      <c r="Q9" s="121" t="s">
        <v>266</v>
      </c>
      <c r="R9" s="121" t="s">
        <v>383</v>
      </c>
      <c r="S9" s="121" t="s">
        <v>408</v>
      </c>
      <c r="T9" s="121" t="s">
        <v>402</v>
      </c>
      <c r="U9" s="121" t="s">
        <v>409</v>
      </c>
      <c r="V9" s="121">
        <v>8.0</v>
      </c>
      <c r="W9" s="121" t="s">
        <v>267</v>
      </c>
      <c r="X9" s="121" t="s">
        <v>321</v>
      </c>
      <c r="Y9" s="121">
        <v>3.0</v>
      </c>
    </row>
    <row r="10" ht="22.5" customHeight="1">
      <c r="A10" s="120">
        <v>45582.39938703703</v>
      </c>
      <c r="B10" s="121" t="s">
        <v>361</v>
      </c>
      <c r="C10" s="121" t="s">
        <v>410</v>
      </c>
      <c r="D10" s="121" t="s">
        <v>380</v>
      </c>
      <c r="E10" s="121" t="s">
        <v>387</v>
      </c>
      <c r="F10" s="121" t="s">
        <v>411</v>
      </c>
      <c r="G10" s="121" t="s">
        <v>267</v>
      </c>
      <c r="H10" s="121">
        <v>5.0</v>
      </c>
      <c r="I10" s="121" t="s">
        <v>280</v>
      </c>
      <c r="J10" s="121" t="s">
        <v>62</v>
      </c>
      <c r="K10" s="121" t="s">
        <v>267</v>
      </c>
      <c r="L10" s="121" t="s">
        <v>412</v>
      </c>
      <c r="M10" s="121" t="s">
        <v>413</v>
      </c>
      <c r="N10" s="121" t="s">
        <v>375</v>
      </c>
      <c r="O10" s="121" t="s">
        <v>400</v>
      </c>
      <c r="P10" s="121">
        <v>5.0</v>
      </c>
      <c r="Q10" s="121" t="s">
        <v>267</v>
      </c>
      <c r="R10" s="121" t="s">
        <v>401</v>
      </c>
      <c r="S10" s="121" t="s">
        <v>384</v>
      </c>
      <c r="T10" s="121" t="s">
        <v>414</v>
      </c>
      <c r="U10" s="121" t="s">
        <v>415</v>
      </c>
      <c r="V10" s="121">
        <v>10.0</v>
      </c>
      <c r="W10" s="121" t="s">
        <v>267</v>
      </c>
      <c r="Y10" s="121">
        <v>5.0</v>
      </c>
    </row>
    <row r="11" ht="22.5" customHeight="1">
      <c r="A11" s="120">
        <v>45582.39957171296</v>
      </c>
      <c r="B11" s="121" t="s">
        <v>361</v>
      </c>
      <c r="C11" s="121" t="s">
        <v>416</v>
      </c>
      <c r="D11" s="121" t="s">
        <v>380</v>
      </c>
      <c r="E11" s="121" t="s">
        <v>387</v>
      </c>
      <c r="F11" s="121" t="s">
        <v>373</v>
      </c>
      <c r="G11" s="121" t="s">
        <v>266</v>
      </c>
      <c r="H11" s="121">
        <v>4.0</v>
      </c>
      <c r="I11" s="121" t="s">
        <v>267</v>
      </c>
      <c r="J11" s="121" t="s">
        <v>62</v>
      </c>
      <c r="K11" s="121" t="s">
        <v>280</v>
      </c>
      <c r="L11" s="121" t="s">
        <v>366</v>
      </c>
      <c r="M11" s="121" t="s">
        <v>374</v>
      </c>
      <c r="N11" s="121" t="s">
        <v>382</v>
      </c>
      <c r="O11" s="121" t="s">
        <v>369</v>
      </c>
      <c r="P11" s="121">
        <v>4.0</v>
      </c>
      <c r="Q11" s="121" t="s">
        <v>267</v>
      </c>
      <c r="R11" s="121" t="s">
        <v>370</v>
      </c>
      <c r="S11" s="121" t="s">
        <v>384</v>
      </c>
      <c r="T11" s="121" t="s">
        <v>377</v>
      </c>
      <c r="U11" s="121" t="s">
        <v>417</v>
      </c>
      <c r="V11" s="121">
        <v>8.0</v>
      </c>
      <c r="W11" s="121" t="s">
        <v>267</v>
      </c>
      <c r="Y11" s="121">
        <v>4.0</v>
      </c>
    </row>
    <row r="12" ht="22.5" customHeight="1">
      <c r="A12" s="120">
        <v>45582.40084478009</v>
      </c>
      <c r="B12" s="121" t="s">
        <v>361</v>
      </c>
      <c r="C12" s="121" t="s">
        <v>418</v>
      </c>
      <c r="D12" s="121" t="s">
        <v>380</v>
      </c>
      <c r="E12" s="121" t="s">
        <v>419</v>
      </c>
      <c r="F12" s="121" t="s">
        <v>365</v>
      </c>
      <c r="G12" s="121" t="s">
        <v>267</v>
      </c>
      <c r="H12" s="121">
        <v>5.0</v>
      </c>
      <c r="I12" s="121" t="s">
        <v>266</v>
      </c>
      <c r="J12" s="121" t="s">
        <v>62</v>
      </c>
      <c r="K12" s="121" t="s">
        <v>280</v>
      </c>
      <c r="L12" s="121" t="s">
        <v>412</v>
      </c>
      <c r="M12" s="121" t="s">
        <v>420</v>
      </c>
      <c r="N12" s="121" t="s">
        <v>382</v>
      </c>
      <c r="O12" s="121" t="s">
        <v>400</v>
      </c>
      <c r="P12" s="121">
        <v>5.0</v>
      </c>
      <c r="Q12" s="121" t="s">
        <v>267</v>
      </c>
      <c r="R12" s="121" t="s">
        <v>383</v>
      </c>
      <c r="S12" s="121" t="s">
        <v>384</v>
      </c>
      <c r="T12" s="121" t="s">
        <v>421</v>
      </c>
      <c r="U12" s="121" t="s">
        <v>422</v>
      </c>
      <c r="V12" s="121">
        <v>9.0</v>
      </c>
      <c r="W12" s="121" t="s">
        <v>267</v>
      </c>
      <c r="X12" s="121" t="s">
        <v>322</v>
      </c>
      <c r="Y12" s="121">
        <v>5.0</v>
      </c>
    </row>
    <row r="13" ht="22.5" customHeight="1">
      <c r="A13" s="120">
        <v>45582.4105131713</v>
      </c>
      <c r="B13" s="121" t="s">
        <v>423</v>
      </c>
      <c r="C13" s="121" t="s">
        <v>424</v>
      </c>
      <c r="D13" s="121" t="s">
        <v>380</v>
      </c>
      <c r="E13" s="121" t="s">
        <v>387</v>
      </c>
      <c r="F13" s="121" t="s">
        <v>373</v>
      </c>
      <c r="G13" s="121" t="s">
        <v>266</v>
      </c>
      <c r="H13" s="121">
        <v>3.0</v>
      </c>
      <c r="I13" s="121" t="s">
        <v>280</v>
      </c>
      <c r="J13" s="121" t="s">
        <v>284</v>
      </c>
      <c r="K13" s="121" t="s">
        <v>280</v>
      </c>
      <c r="L13" s="121" t="s">
        <v>388</v>
      </c>
      <c r="M13" s="121" t="s">
        <v>374</v>
      </c>
      <c r="N13" s="121" t="s">
        <v>368</v>
      </c>
      <c r="O13" s="121" t="s">
        <v>369</v>
      </c>
      <c r="P13" s="121">
        <v>3.0</v>
      </c>
      <c r="Q13" s="121" t="s">
        <v>267</v>
      </c>
      <c r="R13" s="121" t="s">
        <v>425</v>
      </c>
      <c r="S13" s="121" t="s">
        <v>370</v>
      </c>
      <c r="T13" s="121" t="s">
        <v>377</v>
      </c>
      <c r="U13" s="121" t="s">
        <v>426</v>
      </c>
      <c r="V13" s="121">
        <v>5.0</v>
      </c>
      <c r="W13" s="121" t="s">
        <v>266</v>
      </c>
      <c r="X13" s="121" t="s">
        <v>351</v>
      </c>
      <c r="Y13" s="121">
        <v>3.0</v>
      </c>
    </row>
    <row r="14" ht="22.5" customHeight="1">
      <c r="A14" s="120">
        <v>45582.411350787035</v>
      </c>
      <c r="B14" s="121" t="s">
        <v>423</v>
      </c>
      <c r="C14" s="121" t="s">
        <v>395</v>
      </c>
      <c r="D14" s="121" t="s">
        <v>363</v>
      </c>
      <c r="E14" s="121" t="s">
        <v>387</v>
      </c>
      <c r="F14" s="121" t="s">
        <v>411</v>
      </c>
      <c r="G14" s="121" t="s">
        <v>266</v>
      </c>
      <c r="H14" s="121">
        <v>4.0</v>
      </c>
      <c r="I14" s="121" t="s">
        <v>280</v>
      </c>
      <c r="J14" s="121" t="s">
        <v>283</v>
      </c>
      <c r="K14" s="121" t="s">
        <v>280</v>
      </c>
      <c r="L14" s="121" t="s">
        <v>427</v>
      </c>
      <c r="M14" s="121" t="s">
        <v>367</v>
      </c>
      <c r="N14" s="121" t="s">
        <v>428</v>
      </c>
      <c r="O14" s="121" t="s">
        <v>396</v>
      </c>
      <c r="P14" s="121">
        <v>3.0</v>
      </c>
      <c r="R14" s="121" t="s">
        <v>393</v>
      </c>
      <c r="T14" s="121" t="s">
        <v>397</v>
      </c>
      <c r="U14" s="121" t="s">
        <v>398</v>
      </c>
      <c r="V14" s="121">
        <v>6.0</v>
      </c>
      <c r="X14" s="121" t="s">
        <v>352</v>
      </c>
      <c r="Y14" s="121">
        <v>4.0</v>
      </c>
    </row>
    <row r="15" ht="22.5" customHeight="1">
      <c r="A15" s="120">
        <v>45582.412378761575</v>
      </c>
      <c r="B15" s="121" t="s">
        <v>423</v>
      </c>
      <c r="C15" s="121" t="s">
        <v>405</v>
      </c>
      <c r="D15" s="121" t="s">
        <v>429</v>
      </c>
      <c r="E15" s="121" t="s">
        <v>387</v>
      </c>
      <c r="F15" s="121" t="s">
        <v>365</v>
      </c>
      <c r="G15" s="121" t="s">
        <v>266</v>
      </c>
      <c r="H15" s="121">
        <v>4.0</v>
      </c>
      <c r="I15" s="121" t="s">
        <v>280</v>
      </c>
      <c r="J15" s="121" t="s">
        <v>284</v>
      </c>
      <c r="K15" s="121" t="s">
        <v>280</v>
      </c>
      <c r="L15" s="121" t="s">
        <v>366</v>
      </c>
      <c r="M15" s="121" t="s">
        <v>367</v>
      </c>
      <c r="N15" s="121" t="s">
        <v>368</v>
      </c>
      <c r="O15" s="121" t="s">
        <v>369</v>
      </c>
      <c r="P15" s="121">
        <v>3.0</v>
      </c>
      <c r="Q15" s="121" t="s">
        <v>266</v>
      </c>
      <c r="R15" s="121" t="s">
        <v>430</v>
      </c>
      <c r="S15" s="121" t="s">
        <v>431</v>
      </c>
      <c r="T15" s="121" t="s">
        <v>397</v>
      </c>
      <c r="U15" s="121" t="s">
        <v>432</v>
      </c>
      <c r="V15" s="121">
        <v>5.0</v>
      </c>
      <c r="W15" s="121" t="s">
        <v>266</v>
      </c>
      <c r="X15" s="121" t="s">
        <v>353</v>
      </c>
      <c r="Y15" s="121">
        <v>2.0</v>
      </c>
    </row>
    <row r="16" ht="22.5" customHeight="1">
      <c r="A16" s="120">
        <v>45582.413268599536</v>
      </c>
      <c r="B16" s="121" t="s">
        <v>423</v>
      </c>
      <c r="C16" s="121" t="s">
        <v>391</v>
      </c>
      <c r="D16" s="121" t="s">
        <v>406</v>
      </c>
      <c r="E16" s="121" t="s">
        <v>364</v>
      </c>
      <c r="F16" s="121" t="s">
        <v>365</v>
      </c>
      <c r="G16" s="121" t="s">
        <v>266</v>
      </c>
      <c r="H16" s="121">
        <v>5.0</v>
      </c>
      <c r="I16" s="121" t="s">
        <v>267</v>
      </c>
      <c r="J16" s="121" t="s">
        <v>284</v>
      </c>
      <c r="K16" s="121" t="s">
        <v>267</v>
      </c>
      <c r="L16" s="121" t="s">
        <v>427</v>
      </c>
      <c r="M16" s="121" t="s">
        <v>389</v>
      </c>
      <c r="N16" s="121" t="s">
        <v>375</v>
      </c>
      <c r="O16" s="121" t="s">
        <v>369</v>
      </c>
      <c r="P16" s="121">
        <v>1.0</v>
      </c>
      <c r="Q16" s="121" t="s">
        <v>267</v>
      </c>
      <c r="R16" s="121" t="s">
        <v>425</v>
      </c>
      <c r="S16" s="121" t="s">
        <v>370</v>
      </c>
      <c r="T16" s="121" t="s">
        <v>402</v>
      </c>
      <c r="U16" s="121" t="s">
        <v>433</v>
      </c>
      <c r="V16" s="121">
        <v>4.0</v>
      </c>
      <c r="W16" s="121" t="s">
        <v>266</v>
      </c>
      <c r="X16" s="121" t="s">
        <v>354</v>
      </c>
      <c r="Y16" s="121">
        <v>1.0</v>
      </c>
    </row>
    <row r="17" ht="22.5" customHeight="1">
      <c r="A17" s="120">
        <v>45582.41394488426</v>
      </c>
      <c r="B17" s="121" t="s">
        <v>423</v>
      </c>
      <c r="C17" s="121" t="s">
        <v>386</v>
      </c>
      <c r="D17" s="121" t="s">
        <v>380</v>
      </c>
      <c r="E17" s="121" t="s">
        <v>364</v>
      </c>
      <c r="F17" s="121" t="s">
        <v>392</v>
      </c>
      <c r="G17" s="121" t="s">
        <v>266</v>
      </c>
      <c r="H17" s="121">
        <v>4.0</v>
      </c>
      <c r="I17" s="121" t="s">
        <v>267</v>
      </c>
      <c r="J17" s="121" t="s">
        <v>284</v>
      </c>
      <c r="K17" s="121" t="s">
        <v>280</v>
      </c>
      <c r="L17" s="121" t="s">
        <v>427</v>
      </c>
      <c r="M17" s="121" t="s">
        <v>367</v>
      </c>
      <c r="N17" s="121" t="s">
        <v>368</v>
      </c>
      <c r="O17" s="121" t="s">
        <v>400</v>
      </c>
      <c r="P17" s="121">
        <v>4.0</v>
      </c>
      <c r="Q17" s="121" t="s">
        <v>267</v>
      </c>
      <c r="R17" s="121" t="s">
        <v>393</v>
      </c>
      <c r="S17" s="121" t="s">
        <v>370</v>
      </c>
      <c r="T17" s="121" t="s">
        <v>402</v>
      </c>
      <c r="U17" s="121" t="s">
        <v>434</v>
      </c>
      <c r="V17" s="121">
        <v>7.0</v>
      </c>
      <c r="W17" s="121" t="s">
        <v>267</v>
      </c>
      <c r="X17" s="121" t="s">
        <v>355</v>
      </c>
      <c r="Y17" s="121">
        <v>4.0</v>
      </c>
    </row>
    <row r="18" ht="22.5" customHeight="1">
      <c r="A18" s="120">
        <v>45582.41443979167</v>
      </c>
      <c r="B18" s="121" t="s">
        <v>423</v>
      </c>
      <c r="C18" s="121" t="s">
        <v>379</v>
      </c>
      <c r="D18" s="121" t="s">
        <v>363</v>
      </c>
      <c r="E18" s="121" t="s">
        <v>364</v>
      </c>
      <c r="F18" s="121" t="s">
        <v>392</v>
      </c>
      <c r="G18" s="121" t="s">
        <v>267</v>
      </c>
      <c r="H18" s="121">
        <v>5.0</v>
      </c>
      <c r="I18" s="121" t="s">
        <v>267</v>
      </c>
      <c r="J18" s="121" t="s">
        <v>283</v>
      </c>
      <c r="K18" s="121" t="s">
        <v>267</v>
      </c>
      <c r="L18" s="121" t="s">
        <v>388</v>
      </c>
      <c r="M18" s="121" t="s">
        <v>420</v>
      </c>
      <c r="N18" s="121" t="s">
        <v>375</v>
      </c>
      <c r="O18" s="121" t="s">
        <v>396</v>
      </c>
      <c r="P18" s="121">
        <v>4.0</v>
      </c>
      <c r="Q18" s="121" t="s">
        <v>267</v>
      </c>
      <c r="R18" s="121" t="s">
        <v>430</v>
      </c>
      <c r="S18" s="121" t="s">
        <v>384</v>
      </c>
      <c r="T18" s="121" t="s">
        <v>414</v>
      </c>
      <c r="U18" s="121" t="s">
        <v>435</v>
      </c>
      <c r="V18" s="121">
        <v>6.0</v>
      </c>
      <c r="W18" s="121" t="s">
        <v>267</v>
      </c>
      <c r="Y18" s="121">
        <v>5.0</v>
      </c>
    </row>
    <row r="19" ht="22.5" customHeight="1">
      <c r="A19" s="120">
        <v>45582.414698761575</v>
      </c>
      <c r="B19" s="121" t="s">
        <v>423</v>
      </c>
      <c r="C19" s="121" t="s">
        <v>399</v>
      </c>
      <c r="D19" s="121" t="s">
        <v>363</v>
      </c>
      <c r="E19" s="121" t="s">
        <v>364</v>
      </c>
      <c r="F19" s="121" t="s">
        <v>365</v>
      </c>
      <c r="G19" s="121" t="s">
        <v>266</v>
      </c>
      <c r="H19" s="121">
        <v>4.0</v>
      </c>
      <c r="I19" s="121" t="s">
        <v>280</v>
      </c>
      <c r="J19" s="121" t="s">
        <v>284</v>
      </c>
      <c r="K19" s="121" t="s">
        <v>280</v>
      </c>
      <c r="L19" s="121" t="s">
        <v>427</v>
      </c>
      <c r="M19" s="121" t="s">
        <v>367</v>
      </c>
      <c r="N19" s="121" t="s">
        <v>428</v>
      </c>
      <c r="O19" s="121" t="s">
        <v>396</v>
      </c>
      <c r="P19" s="121">
        <v>1.0</v>
      </c>
      <c r="Q19" s="121" t="s">
        <v>267</v>
      </c>
      <c r="R19" s="121" t="s">
        <v>370</v>
      </c>
      <c r="S19" s="121" t="s">
        <v>370</v>
      </c>
      <c r="T19" s="121" t="s">
        <v>397</v>
      </c>
      <c r="U19" s="121" t="s">
        <v>436</v>
      </c>
      <c r="V19" s="121">
        <v>5.0</v>
      </c>
      <c r="W19" s="121" t="s">
        <v>266</v>
      </c>
      <c r="Y19" s="121">
        <v>4.0</v>
      </c>
    </row>
    <row r="20" ht="22.5" customHeight="1">
      <c r="A20" s="120">
        <v>45582.41534866898</v>
      </c>
      <c r="B20" s="121" t="s">
        <v>423</v>
      </c>
      <c r="C20" s="121" t="s">
        <v>416</v>
      </c>
      <c r="D20" s="121" t="s">
        <v>380</v>
      </c>
      <c r="E20" s="121" t="s">
        <v>364</v>
      </c>
      <c r="F20" s="121" t="s">
        <v>392</v>
      </c>
      <c r="G20" s="121" t="s">
        <v>266</v>
      </c>
      <c r="H20" s="121">
        <v>3.0</v>
      </c>
      <c r="I20" s="121" t="s">
        <v>267</v>
      </c>
      <c r="J20" s="121" t="s">
        <v>284</v>
      </c>
      <c r="K20" s="121" t="s">
        <v>280</v>
      </c>
      <c r="L20" s="121" t="s">
        <v>366</v>
      </c>
      <c r="M20" s="121" t="s">
        <v>367</v>
      </c>
      <c r="N20" s="121" t="s">
        <v>375</v>
      </c>
      <c r="O20" s="121" t="s">
        <v>369</v>
      </c>
      <c r="P20" s="121">
        <v>3.0</v>
      </c>
      <c r="Q20" s="121" t="s">
        <v>267</v>
      </c>
      <c r="R20" s="121" t="s">
        <v>425</v>
      </c>
      <c r="S20" s="121" t="s">
        <v>370</v>
      </c>
      <c r="T20" s="121" t="s">
        <v>402</v>
      </c>
      <c r="U20" s="121" t="s">
        <v>437</v>
      </c>
      <c r="V20" s="121">
        <v>7.0</v>
      </c>
      <c r="W20" s="121" t="s">
        <v>266</v>
      </c>
      <c r="Y20" s="121">
        <v>3.0</v>
      </c>
    </row>
    <row r="21" ht="22.5" customHeight="1">
      <c r="A21" s="120">
        <v>45582.41597163194</v>
      </c>
      <c r="B21" s="121" t="s">
        <v>423</v>
      </c>
      <c r="C21" s="121" t="s">
        <v>410</v>
      </c>
      <c r="D21" s="121" t="s">
        <v>363</v>
      </c>
      <c r="E21" s="121" t="s">
        <v>387</v>
      </c>
      <c r="F21" s="121" t="s">
        <v>411</v>
      </c>
      <c r="G21" s="121" t="s">
        <v>267</v>
      </c>
      <c r="H21" s="121">
        <v>5.0</v>
      </c>
      <c r="I21" s="121" t="s">
        <v>280</v>
      </c>
      <c r="J21" s="121" t="s">
        <v>284</v>
      </c>
      <c r="K21" s="121" t="s">
        <v>280</v>
      </c>
      <c r="L21" s="121" t="s">
        <v>427</v>
      </c>
      <c r="M21" s="121" t="s">
        <v>374</v>
      </c>
      <c r="N21" s="121" t="s">
        <v>375</v>
      </c>
      <c r="O21" s="121" t="s">
        <v>400</v>
      </c>
      <c r="P21" s="121">
        <v>5.0</v>
      </c>
      <c r="Q21" s="121" t="s">
        <v>267</v>
      </c>
      <c r="R21" s="121" t="s">
        <v>370</v>
      </c>
      <c r="S21" s="121" t="s">
        <v>384</v>
      </c>
      <c r="T21" s="121" t="s">
        <v>377</v>
      </c>
      <c r="U21" s="121" t="s">
        <v>438</v>
      </c>
      <c r="V21" s="121">
        <v>7.0</v>
      </c>
      <c r="W21" s="121" t="s">
        <v>266</v>
      </c>
      <c r="X21" s="121" t="s">
        <v>356</v>
      </c>
      <c r="Y21" s="121">
        <v>5.0</v>
      </c>
    </row>
    <row r="22" ht="22.5" customHeight="1">
      <c r="A22" s="120">
        <v>45582.41637258102</v>
      </c>
      <c r="B22" s="121" t="s">
        <v>423</v>
      </c>
      <c r="C22" s="121" t="s">
        <v>418</v>
      </c>
      <c r="D22" s="121" t="s">
        <v>363</v>
      </c>
      <c r="E22" s="121" t="s">
        <v>387</v>
      </c>
      <c r="F22" s="121" t="s">
        <v>365</v>
      </c>
      <c r="G22" s="121" t="s">
        <v>267</v>
      </c>
      <c r="H22" s="121">
        <v>4.0</v>
      </c>
      <c r="I22" s="121" t="s">
        <v>266</v>
      </c>
      <c r="J22" s="121" t="s">
        <v>283</v>
      </c>
      <c r="K22" s="121" t="s">
        <v>267</v>
      </c>
      <c r="L22" s="121" t="s">
        <v>427</v>
      </c>
      <c r="M22" s="121" t="s">
        <v>367</v>
      </c>
      <c r="N22" s="121" t="s">
        <v>375</v>
      </c>
      <c r="O22" s="121" t="s">
        <v>369</v>
      </c>
      <c r="P22" s="121">
        <v>4.0</v>
      </c>
      <c r="Q22" s="121" t="s">
        <v>266</v>
      </c>
      <c r="R22" s="121" t="s">
        <v>370</v>
      </c>
      <c r="S22" s="121" t="s">
        <v>384</v>
      </c>
      <c r="T22" s="121" t="s">
        <v>421</v>
      </c>
      <c r="U22" s="121" t="s">
        <v>439</v>
      </c>
      <c r="V22" s="121">
        <v>6.0</v>
      </c>
      <c r="W22" s="121" t="s">
        <v>266</v>
      </c>
      <c r="X22" s="121" t="s">
        <v>357</v>
      </c>
      <c r="Y22" s="121">
        <v>3.0</v>
      </c>
    </row>
    <row r="23" ht="22.5" customHeight="1">
      <c r="A23" s="120">
        <v>45582.424881122686</v>
      </c>
      <c r="B23" s="121" t="s">
        <v>361</v>
      </c>
      <c r="C23" s="121" t="s">
        <v>440</v>
      </c>
      <c r="D23" s="121" t="s">
        <v>363</v>
      </c>
      <c r="E23" s="121" t="s">
        <v>387</v>
      </c>
      <c r="F23" s="121" t="s">
        <v>365</v>
      </c>
      <c r="G23" s="121" t="s">
        <v>267</v>
      </c>
      <c r="H23" s="121">
        <v>4.0</v>
      </c>
      <c r="I23" s="121" t="s">
        <v>267</v>
      </c>
      <c r="J23" s="121" t="s">
        <v>62</v>
      </c>
      <c r="K23" s="121" t="s">
        <v>267</v>
      </c>
      <c r="L23" s="121" t="s">
        <v>366</v>
      </c>
      <c r="M23" s="121" t="s">
        <v>420</v>
      </c>
      <c r="N23" s="121" t="s">
        <v>382</v>
      </c>
      <c r="O23" s="121" t="s">
        <v>369</v>
      </c>
      <c r="P23" s="121">
        <v>3.0</v>
      </c>
      <c r="Q23" s="121" t="s">
        <v>267</v>
      </c>
      <c r="R23" s="121" t="s">
        <v>425</v>
      </c>
      <c r="S23" s="121" t="s">
        <v>370</v>
      </c>
      <c r="T23" s="121" t="s">
        <v>414</v>
      </c>
      <c r="U23" s="121" t="s">
        <v>441</v>
      </c>
      <c r="V23" s="121">
        <v>7.0</v>
      </c>
      <c r="W23" s="121" t="s">
        <v>267</v>
      </c>
      <c r="Y23" s="121">
        <v>4.0</v>
      </c>
    </row>
    <row r="24" ht="22.5" customHeight="1">
      <c r="A24" s="120">
        <v>45582.42694329861</v>
      </c>
      <c r="B24" s="121" t="s">
        <v>423</v>
      </c>
      <c r="C24" s="121" t="s">
        <v>440</v>
      </c>
      <c r="D24" s="121" t="s">
        <v>363</v>
      </c>
      <c r="E24" s="121" t="s">
        <v>387</v>
      </c>
      <c r="F24" s="121" t="s">
        <v>365</v>
      </c>
      <c r="G24" s="121" t="s">
        <v>267</v>
      </c>
      <c r="H24" s="121">
        <v>4.0</v>
      </c>
      <c r="I24" s="121" t="s">
        <v>267</v>
      </c>
      <c r="J24" s="121" t="s">
        <v>284</v>
      </c>
      <c r="K24" s="121" t="s">
        <v>280</v>
      </c>
      <c r="L24" s="121" t="s">
        <v>427</v>
      </c>
      <c r="M24" s="121" t="s">
        <v>420</v>
      </c>
      <c r="N24" s="121" t="s">
        <v>428</v>
      </c>
      <c r="O24" s="121" t="s">
        <v>376</v>
      </c>
      <c r="P24" s="121">
        <v>3.0</v>
      </c>
      <c r="Q24" s="121" t="s">
        <v>267</v>
      </c>
      <c r="R24" s="121" t="s">
        <v>425</v>
      </c>
      <c r="S24" s="121" t="s">
        <v>370</v>
      </c>
      <c r="T24" s="121" t="s">
        <v>402</v>
      </c>
      <c r="U24" s="121" t="s">
        <v>441</v>
      </c>
      <c r="V24" s="121">
        <v>5.0</v>
      </c>
      <c r="W24" s="121" t="s">
        <v>267</v>
      </c>
      <c r="Y24" s="121">
        <v>4.0</v>
      </c>
    </row>
    <row r="25" ht="22.5" customHeight="1">
      <c r="A25" s="120">
        <v>45582.4275609375</v>
      </c>
      <c r="B25" s="121" t="s">
        <v>442</v>
      </c>
      <c r="C25" s="121" t="s">
        <v>372</v>
      </c>
      <c r="D25" s="121" t="s">
        <v>363</v>
      </c>
      <c r="E25" s="121" t="s">
        <v>364</v>
      </c>
      <c r="F25" s="121" t="s">
        <v>373</v>
      </c>
      <c r="G25" s="121" t="s">
        <v>266</v>
      </c>
      <c r="H25" s="121">
        <v>3.0</v>
      </c>
      <c r="I25" s="121" t="s">
        <v>280</v>
      </c>
      <c r="J25" s="121" t="s">
        <v>284</v>
      </c>
      <c r="K25" s="121" t="s">
        <v>280</v>
      </c>
      <c r="L25" s="121" t="s">
        <v>366</v>
      </c>
      <c r="M25" s="121" t="s">
        <v>367</v>
      </c>
      <c r="N25" s="121" t="s">
        <v>368</v>
      </c>
      <c r="O25" s="121" t="s">
        <v>396</v>
      </c>
      <c r="P25" s="121">
        <v>3.0</v>
      </c>
      <c r="Q25" s="121" t="s">
        <v>267</v>
      </c>
      <c r="R25" s="121" t="s">
        <v>425</v>
      </c>
      <c r="S25" s="121" t="s">
        <v>370</v>
      </c>
      <c r="T25" s="121" t="s">
        <v>402</v>
      </c>
      <c r="U25" s="121" t="s">
        <v>378</v>
      </c>
      <c r="V25" s="121">
        <v>6.0</v>
      </c>
      <c r="W25" s="121" t="s">
        <v>267</v>
      </c>
      <c r="X25" s="121" t="s">
        <v>443</v>
      </c>
      <c r="Y25" s="121">
        <v>3.0</v>
      </c>
    </row>
    <row r="26" ht="22.5" customHeight="1">
      <c r="A26" s="120">
        <v>45582.42787688658</v>
      </c>
      <c r="B26" s="121" t="s">
        <v>442</v>
      </c>
      <c r="C26" s="121" t="s">
        <v>391</v>
      </c>
      <c r="D26" s="121" t="s">
        <v>380</v>
      </c>
      <c r="E26" s="121" t="s">
        <v>387</v>
      </c>
      <c r="F26" s="121" t="s">
        <v>392</v>
      </c>
      <c r="G26" s="121" t="s">
        <v>267</v>
      </c>
      <c r="H26" s="121">
        <v>4.0</v>
      </c>
      <c r="I26" s="121" t="s">
        <v>267</v>
      </c>
      <c r="J26" s="121" t="s">
        <v>284</v>
      </c>
      <c r="K26" s="121" t="s">
        <v>267</v>
      </c>
      <c r="L26" s="121" t="s">
        <v>366</v>
      </c>
      <c r="M26" s="121" t="s">
        <v>367</v>
      </c>
      <c r="N26" s="121" t="s">
        <v>368</v>
      </c>
      <c r="O26" s="121" t="s">
        <v>400</v>
      </c>
      <c r="P26" s="121">
        <v>5.0</v>
      </c>
      <c r="Q26" s="121" t="s">
        <v>267</v>
      </c>
      <c r="R26" s="121" t="s">
        <v>425</v>
      </c>
      <c r="S26" s="121" t="s">
        <v>370</v>
      </c>
      <c r="T26" s="121" t="s">
        <v>377</v>
      </c>
      <c r="U26" s="121" t="s">
        <v>433</v>
      </c>
      <c r="V26" s="121">
        <v>7.0</v>
      </c>
      <c r="W26" s="121" t="s">
        <v>267</v>
      </c>
      <c r="X26" s="121" t="s">
        <v>332</v>
      </c>
      <c r="Y26" s="121">
        <v>4.0</v>
      </c>
    </row>
    <row r="27" ht="22.5" customHeight="1">
      <c r="A27" s="120">
        <v>45582.428815266205</v>
      </c>
      <c r="B27" s="121" t="s">
        <v>442</v>
      </c>
      <c r="C27" s="121" t="s">
        <v>395</v>
      </c>
      <c r="D27" s="121" t="s">
        <v>363</v>
      </c>
      <c r="E27" s="121" t="s">
        <v>387</v>
      </c>
      <c r="F27" s="121" t="s">
        <v>411</v>
      </c>
      <c r="G27" s="121" t="s">
        <v>266</v>
      </c>
      <c r="H27" s="121">
        <v>3.0</v>
      </c>
      <c r="I27" s="121" t="s">
        <v>280</v>
      </c>
      <c r="J27" s="121" t="s">
        <v>284</v>
      </c>
      <c r="K27" s="121" t="s">
        <v>280</v>
      </c>
      <c r="L27" s="121" t="s">
        <v>427</v>
      </c>
      <c r="M27" s="121" t="s">
        <v>389</v>
      </c>
      <c r="N27" s="121" t="s">
        <v>375</v>
      </c>
      <c r="O27" s="121" t="s">
        <v>407</v>
      </c>
      <c r="P27" s="121">
        <v>3.0</v>
      </c>
      <c r="R27" s="121" t="s">
        <v>425</v>
      </c>
      <c r="S27" s="121" t="s">
        <v>370</v>
      </c>
      <c r="T27" s="121" t="s">
        <v>397</v>
      </c>
      <c r="U27" s="121" t="s">
        <v>398</v>
      </c>
      <c r="V27" s="121">
        <v>7.0</v>
      </c>
      <c r="W27" s="121" t="s">
        <v>267</v>
      </c>
      <c r="X27" s="121" t="s">
        <v>333</v>
      </c>
      <c r="Y27" s="121">
        <v>3.0</v>
      </c>
    </row>
    <row r="28" ht="22.5" customHeight="1">
      <c r="A28" s="120">
        <v>45582.42942788194</v>
      </c>
      <c r="B28" s="121" t="s">
        <v>442</v>
      </c>
      <c r="C28" s="121" t="s">
        <v>418</v>
      </c>
      <c r="D28" s="121" t="s">
        <v>363</v>
      </c>
      <c r="E28" s="121" t="s">
        <v>419</v>
      </c>
      <c r="F28" s="121" t="s">
        <v>411</v>
      </c>
      <c r="G28" s="121" t="s">
        <v>267</v>
      </c>
      <c r="H28" s="121">
        <v>4.0</v>
      </c>
      <c r="I28" s="121" t="s">
        <v>266</v>
      </c>
      <c r="J28" s="121" t="s">
        <v>284</v>
      </c>
      <c r="K28" s="121" t="s">
        <v>267</v>
      </c>
      <c r="L28" s="121" t="s">
        <v>427</v>
      </c>
      <c r="M28" s="121" t="s">
        <v>389</v>
      </c>
      <c r="N28" s="121" t="s">
        <v>428</v>
      </c>
      <c r="O28" s="121" t="s">
        <v>400</v>
      </c>
      <c r="P28" s="121">
        <v>3.0</v>
      </c>
      <c r="Q28" s="121" t="s">
        <v>267</v>
      </c>
      <c r="R28" s="121" t="s">
        <v>370</v>
      </c>
      <c r="S28" s="121" t="s">
        <v>384</v>
      </c>
      <c r="T28" s="121" t="s">
        <v>414</v>
      </c>
      <c r="U28" s="121" t="s">
        <v>398</v>
      </c>
      <c r="V28" s="121">
        <v>7.0</v>
      </c>
      <c r="W28" s="121" t="s">
        <v>266</v>
      </c>
      <c r="X28" s="121" t="s">
        <v>334</v>
      </c>
      <c r="Y28" s="121">
        <v>4.0</v>
      </c>
    </row>
    <row r="29" ht="22.5" customHeight="1">
      <c r="A29" s="120">
        <v>45582.42949247685</v>
      </c>
      <c r="B29" s="121" t="s">
        <v>442</v>
      </c>
      <c r="C29" s="121" t="s">
        <v>405</v>
      </c>
      <c r="D29" s="121" t="s">
        <v>363</v>
      </c>
      <c r="E29" s="121" t="s">
        <v>387</v>
      </c>
      <c r="F29" s="121" t="s">
        <v>411</v>
      </c>
      <c r="G29" s="121" t="s">
        <v>266</v>
      </c>
      <c r="H29" s="121">
        <v>4.0</v>
      </c>
      <c r="I29" s="121" t="s">
        <v>280</v>
      </c>
      <c r="J29" s="121" t="s">
        <v>284</v>
      </c>
      <c r="K29" s="121" t="s">
        <v>280</v>
      </c>
      <c r="L29" s="121" t="s">
        <v>427</v>
      </c>
      <c r="M29" s="121" t="s">
        <v>389</v>
      </c>
      <c r="N29" s="121" t="s">
        <v>428</v>
      </c>
      <c r="O29" s="121" t="s">
        <v>400</v>
      </c>
      <c r="P29" s="121">
        <v>2.0</v>
      </c>
      <c r="Q29" s="121" t="s">
        <v>266</v>
      </c>
      <c r="R29" s="121" t="s">
        <v>430</v>
      </c>
      <c r="S29" s="121" t="s">
        <v>370</v>
      </c>
      <c r="T29" s="121" t="s">
        <v>377</v>
      </c>
      <c r="U29" s="121" t="s">
        <v>398</v>
      </c>
      <c r="V29" s="121">
        <v>3.0</v>
      </c>
      <c r="W29" s="121" t="s">
        <v>266</v>
      </c>
      <c r="X29" s="121" t="s">
        <v>335</v>
      </c>
      <c r="Y29" s="121">
        <v>4.0</v>
      </c>
    </row>
    <row r="30" ht="22.5" customHeight="1">
      <c r="A30" s="120">
        <v>45582.4304225</v>
      </c>
      <c r="B30" s="121" t="s">
        <v>442</v>
      </c>
      <c r="C30" s="121" t="s">
        <v>410</v>
      </c>
      <c r="D30" s="121" t="s">
        <v>363</v>
      </c>
      <c r="E30" s="121" t="s">
        <v>364</v>
      </c>
      <c r="F30" s="121" t="s">
        <v>411</v>
      </c>
      <c r="G30" s="121" t="s">
        <v>267</v>
      </c>
      <c r="H30" s="121">
        <v>5.0</v>
      </c>
      <c r="I30" s="121" t="s">
        <v>280</v>
      </c>
      <c r="J30" s="121" t="s">
        <v>284</v>
      </c>
      <c r="K30" s="121" t="s">
        <v>280</v>
      </c>
      <c r="L30" s="121" t="s">
        <v>366</v>
      </c>
      <c r="M30" s="121" t="s">
        <v>389</v>
      </c>
      <c r="N30" s="121" t="s">
        <v>428</v>
      </c>
      <c r="O30" s="121" t="s">
        <v>400</v>
      </c>
      <c r="P30" s="121">
        <v>4.0</v>
      </c>
      <c r="Q30" s="121" t="s">
        <v>267</v>
      </c>
      <c r="R30" s="121" t="s">
        <v>370</v>
      </c>
      <c r="S30" s="121" t="s">
        <v>408</v>
      </c>
      <c r="T30" s="121" t="s">
        <v>377</v>
      </c>
      <c r="U30" s="121" t="s">
        <v>444</v>
      </c>
      <c r="V30" s="121">
        <v>8.0</v>
      </c>
      <c r="W30" s="121" t="s">
        <v>266</v>
      </c>
      <c r="X30" s="121" t="s">
        <v>336</v>
      </c>
      <c r="Y30" s="121">
        <v>5.0</v>
      </c>
    </row>
    <row r="31" ht="22.5" customHeight="1">
      <c r="A31" s="120">
        <v>45582.431415162035</v>
      </c>
      <c r="B31" s="121" t="s">
        <v>442</v>
      </c>
      <c r="C31" s="121" t="s">
        <v>416</v>
      </c>
      <c r="D31" s="121" t="s">
        <v>380</v>
      </c>
      <c r="E31" s="121" t="s">
        <v>387</v>
      </c>
      <c r="F31" s="121" t="s">
        <v>411</v>
      </c>
      <c r="G31" s="121" t="s">
        <v>266</v>
      </c>
      <c r="H31" s="121">
        <v>5.0</v>
      </c>
      <c r="I31" s="121" t="s">
        <v>267</v>
      </c>
      <c r="J31" s="121" t="s">
        <v>284</v>
      </c>
      <c r="K31" s="121" t="s">
        <v>280</v>
      </c>
      <c r="L31" s="121" t="s">
        <v>381</v>
      </c>
      <c r="M31" s="121" t="s">
        <v>374</v>
      </c>
      <c r="N31" s="121" t="s">
        <v>368</v>
      </c>
      <c r="O31" s="121" t="s">
        <v>400</v>
      </c>
      <c r="P31" s="121">
        <v>5.0</v>
      </c>
      <c r="Q31" s="121" t="s">
        <v>267</v>
      </c>
      <c r="R31" s="121" t="s">
        <v>370</v>
      </c>
      <c r="S31" s="121" t="s">
        <v>384</v>
      </c>
      <c r="T31" s="121" t="s">
        <v>377</v>
      </c>
      <c r="U31" s="121" t="s">
        <v>437</v>
      </c>
      <c r="V31" s="121">
        <v>8.0</v>
      </c>
      <c r="W31" s="121" t="s">
        <v>267</v>
      </c>
      <c r="Y31" s="121">
        <v>5.0</v>
      </c>
    </row>
    <row r="32" ht="22.5" customHeight="1">
      <c r="A32" s="120">
        <v>45582.432506400466</v>
      </c>
      <c r="B32" s="121" t="s">
        <v>442</v>
      </c>
      <c r="C32" s="121" t="s">
        <v>379</v>
      </c>
      <c r="D32" s="121" t="s">
        <v>429</v>
      </c>
      <c r="E32" s="121" t="s">
        <v>364</v>
      </c>
      <c r="F32" s="121" t="s">
        <v>411</v>
      </c>
      <c r="G32" s="121" t="s">
        <v>267</v>
      </c>
      <c r="H32" s="121">
        <v>5.0</v>
      </c>
      <c r="I32" s="121" t="s">
        <v>267</v>
      </c>
      <c r="J32" s="121" t="s">
        <v>284</v>
      </c>
      <c r="K32" s="121" t="s">
        <v>267</v>
      </c>
      <c r="L32" s="121" t="s">
        <v>427</v>
      </c>
      <c r="M32" s="121" t="s">
        <v>367</v>
      </c>
      <c r="N32" s="121" t="s">
        <v>445</v>
      </c>
      <c r="O32" s="121" t="s">
        <v>400</v>
      </c>
      <c r="P32" s="121">
        <v>3.0</v>
      </c>
      <c r="Q32" s="121" t="s">
        <v>267</v>
      </c>
      <c r="R32" s="121" t="s">
        <v>425</v>
      </c>
      <c r="S32" s="121" t="s">
        <v>384</v>
      </c>
      <c r="T32" s="121" t="s">
        <v>377</v>
      </c>
      <c r="U32" s="121" t="s">
        <v>398</v>
      </c>
      <c r="V32" s="121">
        <v>3.0</v>
      </c>
      <c r="W32" s="121" t="s">
        <v>266</v>
      </c>
      <c r="Y32" s="121">
        <v>3.0</v>
      </c>
    </row>
    <row r="33" ht="22.5" customHeight="1">
      <c r="A33" s="120">
        <v>45582.43326304398</v>
      </c>
      <c r="B33" s="121" t="s">
        <v>442</v>
      </c>
      <c r="C33" s="121" t="s">
        <v>386</v>
      </c>
      <c r="D33" s="121" t="s">
        <v>363</v>
      </c>
      <c r="E33" s="121" t="s">
        <v>387</v>
      </c>
      <c r="F33" s="121" t="s">
        <v>411</v>
      </c>
      <c r="G33" s="121" t="s">
        <v>266</v>
      </c>
      <c r="H33" s="121">
        <v>5.0</v>
      </c>
      <c r="I33" s="121" t="s">
        <v>267</v>
      </c>
      <c r="J33" s="121" t="s">
        <v>284</v>
      </c>
      <c r="K33" s="121" t="s">
        <v>267</v>
      </c>
      <c r="L33" s="121" t="s">
        <v>427</v>
      </c>
      <c r="M33" s="121" t="s">
        <v>367</v>
      </c>
      <c r="N33" s="121" t="s">
        <v>368</v>
      </c>
      <c r="O33" s="121" t="s">
        <v>400</v>
      </c>
      <c r="P33" s="121">
        <v>4.0</v>
      </c>
      <c r="Q33" s="121" t="s">
        <v>266</v>
      </c>
      <c r="R33" s="121" t="s">
        <v>425</v>
      </c>
      <c r="S33" s="121" t="s">
        <v>370</v>
      </c>
      <c r="T33" s="121" t="s">
        <v>402</v>
      </c>
      <c r="U33" s="121" t="s">
        <v>378</v>
      </c>
      <c r="V33" s="121">
        <v>7.0</v>
      </c>
      <c r="W33" s="121" t="s">
        <v>266</v>
      </c>
      <c r="X33" s="121" t="s">
        <v>337</v>
      </c>
      <c r="Y33" s="121">
        <v>5.0</v>
      </c>
    </row>
    <row r="34" ht="22.5" customHeight="1">
      <c r="A34" s="120">
        <v>45582.4388331713</v>
      </c>
      <c r="B34" s="121" t="s">
        <v>442</v>
      </c>
      <c r="C34" s="121" t="s">
        <v>440</v>
      </c>
      <c r="D34" s="121" t="s">
        <v>380</v>
      </c>
      <c r="E34" s="121" t="s">
        <v>387</v>
      </c>
      <c r="F34" s="121" t="s">
        <v>411</v>
      </c>
      <c r="G34" s="121" t="s">
        <v>267</v>
      </c>
      <c r="H34" s="121">
        <v>4.0</v>
      </c>
      <c r="I34" s="121" t="s">
        <v>267</v>
      </c>
      <c r="J34" s="121" t="s">
        <v>284</v>
      </c>
      <c r="K34" s="121" t="s">
        <v>280</v>
      </c>
      <c r="L34" s="121" t="s">
        <v>388</v>
      </c>
      <c r="M34" s="121" t="s">
        <v>420</v>
      </c>
      <c r="N34" s="121" t="s">
        <v>368</v>
      </c>
      <c r="O34" s="121" t="s">
        <v>369</v>
      </c>
      <c r="P34" s="121">
        <v>3.0</v>
      </c>
      <c r="Q34" s="121" t="s">
        <v>267</v>
      </c>
      <c r="R34" s="121" t="s">
        <v>425</v>
      </c>
      <c r="T34" s="121" t="s">
        <v>414</v>
      </c>
      <c r="U34" s="121" t="s">
        <v>441</v>
      </c>
      <c r="V34" s="121">
        <v>7.0</v>
      </c>
      <c r="W34" s="121" t="s">
        <v>267</v>
      </c>
      <c r="Y34" s="121">
        <v>4.0</v>
      </c>
    </row>
    <row r="35" ht="22.5" customHeight="1">
      <c r="A35" s="120">
        <v>45582.44758881944</v>
      </c>
      <c r="B35" s="121" t="s">
        <v>446</v>
      </c>
      <c r="C35" s="121" t="s">
        <v>379</v>
      </c>
      <c r="D35" s="121" t="s">
        <v>380</v>
      </c>
      <c r="E35" s="121" t="s">
        <v>364</v>
      </c>
      <c r="F35" s="121" t="s">
        <v>365</v>
      </c>
      <c r="G35" s="121" t="s">
        <v>267</v>
      </c>
      <c r="H35" s="121">
        <v>4.0</v>
      </c>
      <c r="I35" s="121" t="s">
        <v>267</v>
      </c>
      <c r="J35" s="121" t="s">
        <v>285</v>
      </c>
      <c r="K35" s="121" t="s">
        <v>267</v>
      </c>
      <c r="L35" s="121" t="s">
        <v>412</v>
      </c>
      <c r="M35" s="121" t="s">
        <v>389</v>
      </c>
      <c r="N35" s="121" t="s">
        <v>382</v>
      </c>
      <c r="O35" s="121" t="s">
        <v>376</v>
      </c>
      <c r="P35" s="121">
        <v>4.0</v>
      </c>
      <c r="Q35" s="121" t="s">
        <v>266</v>
      </c>
      <c r="R35" s="121" t="s">
        <v>401</v>
      </c>
      <c r="S35" s="121" t="s">
        <v>384</v>
      </c>
      <c r="T35" s="121" t="s">
        <v>414</v>
      </c>
      <c r="U35" s="121" t="s">
        <v>447</v>
      </c>
      <c r="V35" s="121">
        <v>8.0</v>
      </c>
      <c r="W35" s="121" t="s">
        <v>267</v>
      </c>
      <c r="Y35" s="121">
        <v>5.0</v>
      </c>
    </row>
    <row r="36" ht="22.5" customHeight="1">
      <c r="A36" s="120">
        <v>45582.44960283565</v>
      </c>
      <c r="B36" s="121" t="s">
        <v>446</v>
      </c>
      <c r="C36" s="121" t="s">
        <v>410</v>
      </c>
      <c r="D36" s="121" t="s">
        <v>380</v>
      </c>
      <c r="E36" s="121" t="s">
        <v>419</v>
      </c>
      <c r="F36" s="121" t="s">
        <v>411</v>
      </c>
      <c r="G36" s="121" t="s">
        <v>267</v>
      </c>
      <c r="H36" s="121">
        <v>5.0</v>
      </c>
      <c r="I36" s="121" t="s">
        <v>267</v>
      </c>
      <c r="J36" s="121" t="s">
        <v>62</v>
      </c>
      <c r="K36" s="121" t="s">
        <v>267</v>
      </c>
      <c r="L36" s="121" t="s">
        <v>412</v>
      </c>
      <c r="M36" s="121" t="s">
        <v>413</v>
      </c>
      <c r="N36" s="121" t="s">
        <v>382</v>
      </c>
      <c r="O36" s="121" t="s">
        <v>369</v>
      </c>
      <c r="P36" s="121">
        <v>5.0</v>
      </c>
      <c r="Q36" s="121" t="s">
        <v>267</v>
      </c>
      <c r="R36" s="121" t="s">
        <v>370</v>
      </c>
      <c r="S36" s="121" t="s">
        <v>431</v>
      </c>
      <c r="T36" s="121" t="s">
        <v>414</v>
      </c>
      <c r="U36" s="121" t="s">
        <v>448</v>
      </c>
      <c r="V36" s="121">
        <v>10.0</v>
      </c>
      <c r="W36" s="121" t="s">
        <v>267</v>
      </c>
      <c r="Y36" s="121">
        <v>5.0</v>
      </c>
    </row>
    <row r="37" ht="22.5" customHeight="1">
      <c r="A37" s="120">
        <v>45582.45143969907</v>
      </c>
      <c r="B37" s="121" t="s">
        <v>446</v>
      </c>
      <c r="C37" s="121" t="s">
        <v>395</v>
      </c>
      <c r="D37" s="121" t="s">
        <v>363</v>
      </c>
      <c r="E37" s="121" t="s">
        <v>387</v>
      </c>
      <c r="F37" s="121" t="s">
        <v>365</v>
      </c>
      <c r="G37" s="121" t="s">
        <v>267</v>
      </c>
      <c r="H37" s="121">
        <v>4.0</v>
      </c>
      <c r="I37" s="121" t="s">
        <v>267</v>
      </c>
      <c r="J37" s="121" t="s">
        <v>62</v>
      </c>
      <c r="K37" s="121" t="s">
        <v>280</v>
      </c>
      <c r="L37" s="121" t="s">
        <v>366</v>
      </c>
      <c r="M37" s="121" t="s">
        <v>367</v>
      </c>
      <c r="N37" s="121" t="s">
        <v>368</v>
      </c>
      <c r="O37" s="121" t="s">
        <v>396</v>
      </c>
      <c r="P37" s="121">
        <v>3.0</v>
      </c>
      <c r="Q37" s="121" t="s">
        <v>267</v>
      </c>
      <c r="R37" s="121" t="s">
        <v>393</v>
      </c>
      <c r="S37" s="121" t="s">
        <v>384</v>
      </c>
      <c r="T37" s="121" t="s">
        <v>397</v>
      </c>
      <c r="U37" s="121" t="s">
        <v>398</v>
      </c>
      <c r="V37" s="121">
        <v>8.0</v>
      </c>
      <c r="W37" s="121" t="s">
        <v>267</v>
      </c>
      <c r="X37" s="121" t="s">
        <v>345</v>
      </c>
      <c r="Y37" s="121">
        <v>4.0</v>
      </c>
    </row>
    <row r="38" ht="22.5" customHeight="1">
      <c r="A38" s="120">
        <v>45582.451621817134</v>
      </c>
      <c r="B38" s="121" t="s">
        <v>446</v>
      </c>
      <c r="C38" s="121" t="s">
        <v>391</v>
      </c>
      <c r="D38" s="121" t="s">
        <v>363</v>
      </c>
      <c r="E38" s="121" t="s">
        <v>387</v>
      </c>
      <c r="F38" s="121" t="s">
        <v>392</v>
      </c>
      <c r="G38" s="121" t="s">
        <v>267</v>
      </c>
      <c r="H38" s="121">
        <v>4.0</v>
      </c>
      <c r="I38" s="121" t="s">
        <v>266</v>
      </c>
      <c r="J38" s="121" t="s">
        <v>62</v>
      </c>
      <c r="K38" s="121" t="s">
        <v>267</v>
      </c>
      <c r="L38" s="121" t="s">
        <v>366</v>
      </c>
      <c r="M38" s="121" t="s">
        <v>367</v>
      </c>
      <c r="N38" s="121" t="s">
        <v>368</v>
      </c>
      <c r="O38" s="121" t="s">
        <v>376</v>
      </c>
      <c r="P38" s="121">
        <v>3.0</v>
      </c>
      <c r="Q38" s="121" t="s">
        <v>267</v>
      </c>
      <c r="R38" s="121" t="s">
        <v>425</v>
      </c>
      <c r="S38" s="121" t="s">
        <v>370</v>
      </c>
      <c r="T38" s="121" t="s">
        <v>377</v>
      </c>
      <c r="U38" s="121" t="s">
        <v>449</v>
      </c>
      <c r="V38" s="121">
        <v>8.0</v>
      </c>
      <c r="W38" s="121" t="s">
        <v>267</v>
      </c>
      <c r="X38" s="121" t="s">
        <v>346</v>
      </c>
      <c r="Y38" s="121">
        <v>4.0</v>
      </c>
    </row>
    <row r="39" ht="22.5" customHeight="1">
      <c r="A39" s="120">
        <v>45582.45185803241</v>
      </c>
      <c r="B39" s="121" t="s">
        <v>446</v>
      </c>
      <c r="C39" s="121" t="s">
        <v>418</v>
      </c>
      <c r="D39" s="121" t="s">
        <v>380</v>
      </c>
      <c r="E39" s="121" t="s">
        <v>419</v>
      </c>
      <c r="F39" s="121" t="s">
        <v>411</v>
      </c>
      <c r="G39" s="121" t="s">
        <v>267</v>
      </c>
      <c r="H39" s="121">
        <v>5.0</v>
      </c>
      <c r="I39" s="121" t="s">
        <v>280</v>
      </c>
      <c r="J39" s="121" t="s">
        <v>285</v>
      </c>
      <c r="K39" s="121" t="s">
        <v>267</v>
      </c>
      <c r="L39" s="121" t="s">
        <v>381</v>
      </c>
      <c r="M39" s="121" t="s">
        <v>367</v>
      </c>
      <c r="N39" s="121" t="s">
        <v>375</v>
      </c>
      <c r="O39" s="121" t="s">
        <v>376</v>
      </c>
      <c r="P39" s="121">
        <v>5.0</v>
      </c>
      <c r="Q39" s="121" t="s">
        <v>267</v>
      </c>
      <c r="R39" s="121" t="s">
        <v>430</v>
      </c>
      <c r="S39" s="121" t="s">
        <v>384</v>
      </c>
      <c r="T39" s="121" t="s">
        <v>421</v>
      </c>
      <c r="U39" s="121" t="s">
        <v>449</v>
      </c>
      <c r="V39" s="121">
        <v>8.0</v>
      </c>
      <c r="W39" s="121" t="s">
        <v>267</v>
      </c>
      <c r="X39" s="121" t="s">
        <v>347</v>
      </c>
      <c r="Y39" s="121">
        <v>3.0</v>
      </c>
    </row>
    <row r="40" ht="22.5" customHeight="1">
      <c r="A40" s="120">
        <v>45582.451862256945</v>
      </c>
      <c r="B40" s="121" t="s">
        <v>446</v>
      </c>
      <c r="C40" s="121" t="s">
        <v>386</v>
      </c>
      <c r="D40" s="121" t="s">
        <v>380</v>
      </c>
      <c r="E40" s="121" t="s">
        <v>387</v>
      </c>
      <c r="F40" s="121" t="s">
        <v>365</v>
      </c>
      <c r="G40" s="121" t="s">
        <v>267</v>
      </c>
      <c r="H40" s="121">
        <v>5.0</v>
      </c>
      <c r="I40" s="121" t="s">
        <v>267</v>
      </c>
      <c r="J40" s="121" t="s">
        <v>62</v>
      </c>
      <c r="K40" s="121" t="s">
        <v>280</v>
      </c>
      <c r="L40" s="121" t="s">
        <v>366</v>
      </c>
      <c r="M40" s="121" t="s">
        <v>420</v>
      </c>
      <c r="N40" s="121" t="s">
        <v>375</v>
      </c>
      <c r="O40" s="121" t="s">
        <v>369</v>
      </c>
      <c r="P40" s="121">
        <v>4.0</v>
      </c>
      <c r="Q40" s="121" t="s">
        <v>267</v>
      </c>
      <c r="R40" s="121" t="s">
        <v>430</v>
      </c>
      <c r="S40" s="121" t="s">
        <v>408</v>
      </c>
      <c r="T40" s="121" t="s">
        <v>377</v>
      </c>
      <c r="U40" s="121" t="s">
        <v>450</v>
      </c>
      <c r="V40" s="121">
        <v>9.0</v>
      </c>
      <c r="W40" s="121" t="s">
        <v>267</v>
      </c>
      <c r="X40" s="121" t="s">
        <v>348</v>
      </c>
      <c r="Y40" s="121">
        <v>5.0</v>
      </c>
    </row>
    <row r="41" ht="22.5" customHeight="1">
      <c r="A41" s="120">
        <v>45582.4524565625</v>
      </c>
      <c r="B41" s="121" t="s">
        <v>446</v>
      </c>
      <c r="C41" s="121" t="s">
        <v>405</v>
      </c>
      <c r="D41" s="121" t="s">
        <v>380</v>
      </c>
      <c r="E41" s="121" t="s">
        <v>387</v>
      </c>
      <c r="F41" s="121" t="s">
        <v>392</v>
      </c>
      <c r="G41" s="121" t="s">
        <v>267</v>
      </c>
      <c r="H41" s="121">
        <v>4.0</v>
      </c>
      <c r="I41" s="121" t="s">
        <v>267</v>
      </c>
      <c r="J41" s="121" t="s">
        <v>62</v>
      </c>
      <c r="K41" s="121" t="s">
        <v>267</v>
      </c>
      <c r="L41" s="121" t="s">
        <v>381</v>
      </c>
      <c r="M41" s="121" t="s">
        <v>367</v>
      </c>
      <c r="N41" s="121" t="s">
        <v>375</v>
      </c>
      <c r="O41" s="121" t="s">
        <v>376</v>
      </c>
      <c r="P41" s="121">
        <v>4.0</v>
      </c>
      <c r="Q41" s="121" t="s">
        <v>267</v>
      </c>
      <c r="R41" s="121" t="s">
        <v>383</v>
      </c>
      <c r="S41" s="121" t="s">
        <v>408</v>
      </c>
      <c r="T41" s="121" t="s">
        <v>414</v>
      </c>
      <c r="U41" s="121" t="s">
        <v>398</v>
      </c>
      <c r="V41" s="121">
        <v>9.0</v>
      </c>
      <c r="W41" s="121" t="s">
        <v>267</v>
      </c>
      <c r="X41" s="121" t="s">
        <v>349</v>
      </c>
      <c r="Y41" s="121">
        <v>4.0</v>
      </c>
    </row>
    <row r="42" ht="22.5" customHeight="1">
      <c r="A42" s="120">
        <v>45582.452625000005</v>
      </c>
      <c r="B42" s="121" t="s">
        <v>446</v>
      </c>
      <c r="C42" s="121" t="s">
        <v>451</v>
      </c>
      <c r="D42" s="121" t="s">
        <v>363</v>
      </c>
      <c r="E42" s="121" t="s">
        <v>387</v>
      </c>
      <c r="F42" s="121" t="s">
        <v>365</v>
      </c>
      <c r="G42" s="121" t="s">
        <v>267</v>
      </c>
      <c r="H42" s="121">
        <v>3.0</v>
      </c>
      <c r="I42" s="121" t="s">
        <v>267</v>
      </c>
      <c r="J42" s="121" t="s">
        <v>285</v>
      </c>
      <c r="K42" s="121" t="s">
        <v>267</v>
      </c>
      <c r="L42" s="121" t="s">
        <v>381</v>
      </c>
      <c r="M42" s="121" t="s">
        <v>374</v>
      </c>
      <c r="N42" s="121" t="s">
        <v>368</v>
      </c>
      <c r="O42" s="121" t="s">
        <v>376</v>
      </c>
      <c r="P42" s="121">
        <v>4.0</v>
      </c>
      <c r="Q42" s="121" t="s">
        <v>267</v>
      </c>
      <c r="R42" s="121" t="s">
        <v>430</v>
      </c>
      <c r="T42" s="121" t="s">
        <v>414</v>
      </c>
      <c r="U42" s="121" t="s">
        <v>441</v>
      </c>
      <c r="V42" s="121">
        <v>8.0</v>
      </c>
      <c r="W42" s="121" t="s">
        <v>267</v>
      </c>
      <c r="Y42" s="121">
        <v>4.0</v>
      </c>
    </row>
    <row r="43" ht="22.5" customHeight="1">
      <c r="A43" s="120">
        <v>45582.46560657407</v>
      </c>
      <c r="B43" s="121" t="s">
        <v>452</v>
      </c>
      <c r="C43" s="121" t="s">
        <v>405</v>
      </c>
      <c r="D43" s="121" t="s">
        <v>380</v>
      </c>
      <c r="E43" s="121" t="s">
        <v>387</v>
      </c>
      <c r="F43" s="121" t="s">
        <v>411</v>
      </c>
      <c r="G43" s="121" t="s">
        <v>267</v>
      </c>
      <c r="H43" s="121">
        <v>4.0</v>
      </c>
      <c r="I43" s="121" t="s">
        <v>267</v>
      </c>
      <c r="K43" s="121" t="s">
        <v>267</v>
      </c>
      <c r="L43" s="121" t="s">
        <v>381</v>
      </c>
      <c r="M43" s="121" t="s">
        <v>374</v>
      </c>
      <c r="N43" s="121" t="s">
        <v>382</v>
      </c>
      <c r="O43" s="121" t="s">
        <v>400</v>
      </c>
      <c r="P43" s="121">
        <v>4.0</v>
      </c>
      <c r="Q43" s="121" t="s">
        <v>267</v>
      </c>
      <c r="R43" s="121" t="s">
        <v>370</v>
      </c>
      <c r="S43" s="121" t="s">
        <v>370</v>
      </c>
      <c r="T43" s="121" t="s">
        <v>402</v>
      </c>
      <c r="U43" s="121" t="s">
        <v>453</v>
      </c>
      <c r="V43" s="121">
        <v>8.0</v>
      </c>
      <c r="W43" s="121" t="s">
        <v>267</v>
      </c>
      <c r="X43" s="121" t="s">
        <v>323</v>
      </c>
      <c r="Y43" s="121">
        <v>4.0</v>
      </c>
    </row>
    <row r="44" ht="22.5" customHeight="1">
      <c r="A44" s="120">
        <v>45582.469040104166</v>
      </c>
      <c r="B44" s="121" t="s">
        <v>452</v>
      </c>
      <c r="C44" s="121" t="s">
        <v>410</v>
      </c>
      <c r="D44" s="121" t="s">
        <v>380</v>
      </c>
      <c r="E44" s="121" t="s">
        <v>419</v>
      </c>
      <c r="F44" s="121" t="s">
        <v>411</v>
      </c>
      <c r="G44" s="121" t="s">
        <v>267</v>
      </c>
      <c r="H44" s="121">
        <v>5.0</v>
      </c>
      <c r="I44" s="121" t="s">
        <v>267</v>
      </c>
      <c r="J44" s="121" t="s">
        <v>285</v>
      </c>
      <c r="K44" s="121" t="s">
        <v>267</v>
      </c>
      <c r="L44" s="121" t="s">
        <v>412</v>
      </c>
      <c r="M44" s="121" t="s">
        <v>413</v>
      </c>
      <c r="N44" s="121" t="s">
        <v>382</v>
      </c>
      <c r="O44" s="121" t="s">
        <v>400</v>
      </c>
      <c r="P44" s="121">
        <v>5.0</v>
      </c>
      <c r="Q44" s="121" t="s">
        <v>267</v>
      </c>
      <c r="R44" s="121" t="s">
        <v>370</v>
      </c>
      <c r="S44" s="121" t="s">
        <v>370</v>
      </c>
      <c r="T44" s="121" t="s">
        <v>377</v>
      </c>
      <c r="U44" s="121" t="s">
        <v>454</v>
      </c>
      <c r="V44" s="121">
        <v>10.0</v>
      </c>
      <c r="W44" s="121" t="s">
        <v>267</v>
      </c>
      <c r="X44" s="121" t="s">
        <v>324</v>
      </c>
      <c r="Y44" s="121">
        <v>5.0</v>
      </c>
    </row>
    <row r="45" ht="22.5" customHeight="1">
      <c r="A45" s="120">
        <v>45582.46917923611</v>
      </c>
      <c r="B45" s="121" t="s">
        <v>452</v>
      </c>
      <c r="C45" s="121" t="s">
        <v>395</v>
      </c>
      <c r="D45" s="121" t="s">
        <v>363</v>
      </c>
      <c r="E45" s="121" t="s">
        <v>387</v>
      </c>
      <c r="F45" s="121" t="s">
        <v>411</v>
      </c>
      <c r="G45" s="121" t="s">
        <v>267</v>
      </c>
      <c r="H45" s="121">
        <v>5.0</v>
      </c>
      <c r="J45" s="121" t="s">
        <v>62</v>
      </c>
      <c r="M45" s="121" t="s">
        <v>367</v>
      </c>
      <c r="N45" s="121" t="s">
        <v>382</v>
      </c>
      <c r="P45" s="121">
        <v>4.0</v>
      </c>
      <c r="S45" s="121" t="s">
        <v>431</v>
      </c>
      <c r="T45" s="121" t="s">
        <v>397</v>
      </c>
      <c r="U45" s="121" t="s">
        <v>455</v>
      </c>
      <c r="V45" s="121">
        <v>7.0</v>
      </c>
      <c r="X45" s="121" t="s">
        <v>325</v>
      </c>
      <c r="Y45" s="121">
        <v>4.0</v>
      </c>
    </row>
    <row r="46" ht="22.5" customHeight="1">
      <c r="A46" s="120">
        <v>45582.4704800926</v>
      </c>
      <c r="B46" s="121" t="s">
        <v>452</v>
      </c>
      <c r="C46" s="121" t="s">
        <v>418</v>
      </c>
      <c r="D46" s="121" t="s">
        <v>380</v>
      </c>
      <c r="E46" s="121" t="s">
        <v>387</v>
      </c>
      <c r="F46" s="121" t="s">
        <v>365</v>
      </c>
      <c r="G46" s="121" t="s">
        <v>267</v>
      </c>
      <c r="H46" s="121">
        <v>5.0</v>
      </c>
      <c r="I46" s="121" t="s">
        <v>280</v>
      </c>
      <c r="J46" s="121" t="s">
        <v>62</v>
      </c>
      <c r="K46" s="121" t="s">
        <v>267</v>
      </c>
      <c r="L46" s="121" t="s">
        <v>381</v>
      </c>
      <c r="M46" s="121" t="s">
        <v>374</v>
      </c>
      <c r="N46" s="121" t="s">
        <v>375</v>
      </c>
      <c r="O46" s="121" t="s">
        <v>400</v>
      </c>
      <c r="P46" s="121">
        <v>5.0</v>
      </c>
      <c r="Q46" s="121" t="s">
        <v>267</v>
      </c>
      <c r="R46" s="121" t="s">
        <v>383</v>
      </c>
      <c r="S46" s="121" t="s">
        <v>384</v>
      </c>
      <c r="T46" s="121" t="s">
        <v>414</v>
      </c>
      <c r="U46" s="121" t="s">
        <v>456</v>
      </c>
      <c r="V46" s="121">
        <v>9.0</v>
      </c>
      <c r="W46" s="121" t="s">
        <v>267</v>
      </c>
      <c r="X46" s="121" t="s">
        <v>326</v>
      </c>
      <c r="Y46" s="121">
        <v>5.0</v>
      </c>
    </row>
    <row r="47" ht="22.5" customHeight="1">
      <c r="A47" s="120">
        <v>45582.47061984954</v>
      </c>
      <c r="B47" s="121" t="s">
        <v>446</v>
      </c>
      <c r="C47" s="121" t="s">
        <v>416</v>
      </c>
      <c r="D47" s="121" t="s">
        <v>380</v>
      </c>
      <c r="E47" s="121" t="s">
        <v>387</v>
      </c>
      <c r="F47" s="121" t="s">
        <v>411</v>
      </c>
      <c r="G47" s="121" t="s">
        <v>267</v>
      </c>
      <c r="H47" s="121">
        <v>4.0</v>
      </c>
      <c r="I47" s="121" t="s">
        <v>267</v>
      </c>
      <c r="J47" s="121" t="s">
        <v>285</v>
      </c>
      <c r="K47" s="121" t="s">
        <v>280</v>
      </c>
      <c r="L47" s="121" t="s">
        <v>366</v>
      </c>
      <c r="M47" s="121" t="s">
        <v>367</v>
      </c>
      <c r="N47" s="121" t="s">
        <v>375</v>
      </c>
      <c r="O47" s="121" t="s">
        <v>376</v>
      </c>
      <c r="P47" s="121">
        <v>3.0</v>
      </c>
      <c r="Q47" s="121" t="s">
        <v>267</v>
      </c>
      <c r="R47" s="121" t="s">
        <v>370</v>
      </c>
      <c r="S47" s="121" t="s">
        <v>370</v>
      </c>
      <c r="T47" s="121" t="s">
        <v>377</v>
      </c>
      <c r="U47" s="121" t="s">
        <v>437</v>
      </c>
      <c r="V47" s="121">
        <v>8.0</v>
      </c>
      <c r="W47" s="121" t="s">
        <v>267</v>
      </c>
      <c r="Y47" s="121">
        <v>4.0</v>
      </c>
    </row>
    <row r="48" ht="22.5" customHeight="1">
      <c r="A48" s="120">
        <v>45582.47270271991</v>
      </c>
      <c r="B48" s="121" t="s">
        <v>452</v>
      </c>
      <c r="C48" s="121" t="s">
        <v>416</v>
      </c>
      <c r="D48" s="121" t="s">
        <v>380</v>
      </c>
      <c r="E48" s="121" t="s">
        <v>387</v>
      </c>
      <c r="F48" s="121" t="s">
        <v>365</v>
      </c>
      <c r="G48" s="121" t="s">
        <v>267</v>
      </c>
      <c r="H48" s="121">
        <v>5.0</v>
      </c>
      <c r="I48" s="121" t="s">
        <v>267</v>
      </c>
      <c r="J48" s="121" t="s">
        <v>62</v>
      </c>
      <c r="K48" s="121" t="s">
        <v>280</v>
      </c>
      <c r="L48" s="121" t="s">
        <v>381</v>
      </c>
      <c r="M48" s="121" t="s">
        <v>420</v>
      </c>
      <c r="N48" s="121" t="s">
        <v>382</v>
      </c>
      <c r="O48" s="121" t="s">
        <v>400</v>
      </c>
      <c r="P48" s="121">
        <v>5.0</v>
      </c>
      <c r="Q48" s="121" t="s">
        <v>267</v>
      </c>
      <c r="R48" s="121" t="s">
        <v>370</v>
      </c>
      <c r="S48" s="121" t="s">
        <v>384</v>
      </c>
      <c r="T48" s="121" t="s">
        <v>377</v>
      </c>
      <c r="U48" s="121" t="s">
        <v>437</v>
      </c>
      <c r="V48" s="121">
        <v>9.0</v>
      </c>
      <c r="W48" s="121" t="s">
        <v>267</v>
      </c>
      <c r="Y48" s="121">
        <v>5.0</v>
      </c>
    </row>
    <row r="49" ht="22.5" customHeight="1">
      <c r="A49" s="120">
        <v>45582.473343715275</v>
      </c>
      <c r="B49" s="121" t="s">
        <v>452</v>
      </c>
      <c r="C49" s="121" t="s">
        <v>386</v>
      </c>
      <c r="D49" s="121" t="s">
        <v>429</v>
      </c>
      <c r="E49" s="121" t="s">
        <v>387</v>
      </c>
      <c r="F49" s="121" t="s">
        <v>392</v>
      </c>
      <c r="G49" s="121" t="s">
        <v>267</v>
      </c>
      <c r="H49" s="121">
        <v>4.0</v>
      </c>
      <c r="I49" s="121" t="s">
        <v>267</v>
      </c>
      <c r="J49" s="121" t="s">
        <v>62</v>
      </c>
      <c r="K49" s="121" t="s">
        <v>280</v>
      </c>
      <c r="L49" s="121" t="s">
        <v>381</v>
      </c>
      <c r="M49" s="121" t="s">
        <v>420</v>
      </c>
      <c r="N49" s="121" t="s">
        <v>375</v>
      </c>
      <c r="O49" s="121" t="s">
        <v>376</v>
      </c>
      <c r="P49" s="121">
        <v>5.0</v>
      </c>
      <c r="Q49" s="121" t="s">
        <v>267</v>
      </c>
      <c r="R49" s="121" t="s">
        <v>370</v>
      </c>
      <c r="S49" s="121" t="s">
        <v>370</v>
      </c>
      <c r="T49" s="121" t="s">
        <v>377</v>
      </c>
      <c r="U49" s="121" t="s">
        <v>457</v>
      </c>
      <c r="V49" s="121">
        <v>8.0</v>
      </c>
      <c r="W49" s="121" t="s">
        <v>267</v>
      </c>
      <c r="X49" s="121" t="s">
        <v>327</v>
      </c>
      <c r="Y49" s="121">
        <v>5.0</v>
      </c>
    </row>
    <row r="50" ht="22.5" customHeight="1">
      <c r="A50" s="120">
        <v>45582.47420953704</v>
      </c>
      <c r="B50" s="121" t="s">
        <v>452</v>
      </c>
      <c r="C50" s="121" t="s">
        <v>440</v>
      </c>
      <c r="D50" s="121" t="s">
        <v>363</v>
      </c>
      <c r="E50" s="121" t="s">
        <v>387</v>
      </c>
      <c r="F50" s="121" t="s">
        <v>365</v>
      </c>
      <c r="G50" s="121" t="s">
        <v>267</v>
      </c>
      <c r="H50" s="121">
        <v>5.0</v>
      </c>
      <c r="I50" s="121" t="s">
        <v>267</v>
      </c>
      <c r="J50" s="121" t="s">
        <v>285</v>
      </c>
      <c r="K50" s="121" t="s">
        <v>267</v>
      </c>
      <c r="L50" s="121" t="s">
        <v>381</v>
      </c>
      <c r="M50" s="121" t="s">
        <v>420</v>
      </c>
      <c r="N50" s="121" t="s">
        <v>382</v>
      </c>
      <c r="P50" s="121">
        <v>4.0</v>
      </c>
      <c r="Q50" s="121" t="s">
        <v>267</v>
      </c>
      <c r="R50" s="121" t="s">
        <v>430</v>
      </c>
      <c r="T50" s="121" t="s">
        <v>414</v>
      </c>
      <c r="U50" s="121" t="s">
        <v>441</v>
      </c>
      <c r="V50" s="121">
        <v>9.0</v>
      </c>
      <c r="W50" s="121" t="s">
        <v>267</v>
      </c>
      <c r="Y50" s="121">
        <v>5.0</v>
      </c>
    </row>
    <row r="51" ht="22.5" customHeight="1">
      <c r="A51" s="120">
        <v>45582.47493729167</v>
      </c>
      <c r="B51" s="121" t="s">
        <v>452</v>
      </c>
      <c r="C51" s="121" t="s">
        <v>391</v>
      </c>
      <c r="D51" s="121" t="s">
        <v>380</v>
      </c>
      <c r="E51" s="121" t="s">
        <v>364</v>
      </c>
      <c r="F51" s="121" t="s">
        <v>392</v>
      </c>
      <c r="G51" s="121" t="s">
        <v>267</v>
      </c>
      <c r="H51" s="121">
        <v>4.0</v>
      </c>
      <c r="I51" s="121" t="s">
        <v>267</v>
      </c>
      <c r="J51" s="121" t="s">
        <v>283</v>
      </c>
      <c r="K51" s="121" t="s">
        <v>267</v>
      </c>
      <c r="L51" s="121" t="s">
        <v>366</v>
      </c>
      <c r="M51" s="121" t="s">
        <v>367</v>
      </c>
      <c r="N51" s="121" t="s">
        <v>375</v>
      </c>
      <c r="O51" s="121" t="s">
        <v>376</v>
      </c>
      <c r="P51" s="121">
        <v>3.0</v>
      </c>
      <c r="Q51" s="121" t="s">
        <v>267</v>
      </c>
      <c r="R51" s="121" t="s">
        <v>425</v>
      </c>
      <c r="S51" s="121" t="s">
        <v>370</v>
      </c>
      <c r="U51" s="121" t="s">
        <v>433</v>
      </c>
      <c r="V51" s="121">
        <v>6.0</v>
      </c>
      <c r="W51" s="121" t="s">
        <v>267</v>
      </c>
      <c r="X51" s="121" t="s">
        <v>328</v>
      </c>
      <c r="Y51" s="121">
        <v>3.0</v>
      </c>
    </row>
    <row r="52" ht="22.5" customHeight="1">
      <c r="A52" s="120">
        <v>45582.47574012732</v>
      </c>
      <c r="B52" s="121" t="s">
        <v>446</v>
      </c>
      <c r="C52" s="121" t="s">
        <v>424</v>
      </c>
      <c r="D52" s="121" t="s">
        <v>406</v>
      </c>
      <c r="E52" s="121" t="s">
        <v>364</v>
      </c>
      <c r="F52" s="121" t="s">
        <v>373</v>
      </c>
      <c r="G52" s="121" t="s">
        <v>267</v>
      </c>
      <c r="H52" s="121">
        <v>3.0</v>
      </c>
      <c r="I52" s="121" t="s">
        <v>280</v>
      </c>
      <c r="J52" s="121" t="s">
        <v>283</v>
      </c>
      <c r="K52" s="121" t="s">
        <v>280</v>
      </c>
      <c r="L52" s="121" t="s">
        <v>366</v>
      </c>
      <c r="M52" s="121" t="s">
        <v>389</v>
      </c>
      <c r="N52" s="121" t="s">
        <v>368</v>
      </c>
      <c r="O52" s="121" t="s">
        <v>376</v>
      </c>
      <c r="P52" s="121">
        <v>3.0</v>
      </c>
      <c r="Q52" s="121" t="s">
        <v>267</v>
      </c>
      <c r="R52" s="121" t="s">
        <v>425</v>
      </c>
      <c r="S52" s="121" t="s">
        <v>384</v>
      </c>
      <c r="T52" s="121" t="s">
        <v>377</v>
      </c>
      <c r="U52" s="121" t="s">
        <v>450</v>
      </c>
      <c r="V52" s="121">
        <v>5.0</v>
      </c>
      <c r="W52" s="121" t="s">
        <v>267</v>
      </c>
      <c r="Y52" s="121">
        <v>3.0</v>
      </c>
    </row>
    <row r="53" ht="22.5" customHeight="1">
      <c r="A53" s="120">
        <v>45582.477796493054</v>
      </c>
      <c r="B53" s="121" t="s">
        <v>452</v>
      </c>
      <c r="C53" s="121" t="s">
        <v>424</v>
      </c>
      <c r="D53" s="121" t="s">
        <v>363</v>
      </c>
      <c r="E53" s="121" t="s">
        <v>387</v>
      </c>
      <c r="F53" s="121" t="s">
        <v>411</v>
      </c>
      <c r="G53" s="121" t="s">
        <v>266</v>
      </c>
      <c r="H53" s="121">
        <v>3.0</v>
      </c>
      <c r="I53" s="121" t="s">
        <v>280</v>
      </c>
      <c r="J53" s="121" t="s">
        <v>283</v>
      </c>
      <c r="K53" s="121" t="s">
        <v>280</v>
      </c>
      <c r="L53" s="121" t="s">
        <v>366</v>
      </c>
      <c r="M53" s="121" t="s">
        <v>367</v>
      </c>
      <c r="N53" s="121" t="s">
        <v>368</v>
      </c>
      <c r="O53" s="121" t="s">
        <v>369</v>
      </c>
      <c r="P53" s="121">
        <v>3.0</v>
      </c>
      <c r="R53" s="121" t="s">
        <v>370</v>
      </c>
      <c r="S53" s="121" t="s">
        <v>370</v>
      </c>
      <c r="T53" s="121" t="s">
        <v>377</v>
      </c>
      <c r="U53" s="121" t="s">
        <v>458</v>
      </c>
      <c r="V53" s="121">
        <v>4.0</v>
      </c>
      <c r="W53" s="121" t="s">
        <v>266</v>
      </c>
      <c r="X53" s="121" t="s">
        <v>329</v>
      </c>
      <c r="Y53" s="121">
        <v>4.0</v>
      </c>
    </row>
    <row r="54" ht="22.5" customHeight="1">
      <c r="A54" s="120">
        <v>45582.489405960645</v>
      </c>
      <c r="B54" s="121" t="s">
        <v>459</v>
      </c>
      <c r="C54" s="121" t="s">
        <v>405</v>
      </c>
      <c r="D54" s="121" t="s">
        <v>429</v>
      </c>
      <c r="E54" s="121" t="s">
        <v>364</v>
      </c>
      <c r="F54" s="121" t="s">
        <v>392</v>
      </c>
      <c r="G54" s="121" t="s">
        <v>266</v>
      </c>
      <c r="H54" s="121">
        <v>2.0</v>
      </c>
      <c r="I54" s="121" t="s">
        <v>267</v>
      </c>
      <c r="J54" s="121" t="s">
        <v>283</v>
      </c>
      <c r="K54" s="121" t="s">
        <v>280</v>
      </c>
      <c r="L54" s="121" t="s">
        <v>381</v>
      </c>
      <c r="M54" s="121" t="s">
        <v>374</v>
      </c>
      <c r="N54" s="121" t="s">
        <v>368</v>
      </c>
      <c r="O54" s="121" t="s">
        <v>369</v>
      </c>
      <c r="P54" s="121">
        <v>2.0</v>
      </c>
      <c r="Q54" s="121" t="s">
        <v>267</v>
      </c>
      <c r="R54" s="121" t="s">
        <v>370</v>
      </c>
      <c r="S54" s="121" t="s">
        <v>370</v>
      </c>
      <c r="T54" s="121" t="s">
        <v>402</v>
      </c>
      <c r="U54" s="121" t="s">
        <v>460</v>
      </c>
      <c r="V54" s="121">
        <v>6.0</v>
      </c>
      <c r="W54" s="121" t="s">
        <v>267</v>
      </c>
      <c r="X54" s="121" t="s">
        <v>339</v>
      </c>
      <c r="Y54" s="121">
        <v>2.0</v>
      </c>
    </row>
    <row r="55" ht="22.5" customHeight="1">
      <c r="A55" s="120">
        <v>45582.49083400463</v>
      </c>
      <c r="B55" s="121" t="s">
        <v>459</v>
      </c>
      <c r="C55" s="121" t="s">
        <v>386</v>
      </c>
      <c r="D55" s="121" t="s">
        <v>363</v>
      </c>
      <c r="E55" s="121" t="s">
        <v>387</v>
      </c>
      <c r="F55" s="121" t="s">
        <v>392</v>
      </c>
      <c r="G55" s="121" t="s">
        <v>266</v>
      </c>
      <c r="H55" s="121">
        <v>3.0</v>
      </c>
      <c r="I55" s="121" t="s">
        <v>267</v>
      </c>
      <c r="J55" s="121" t="s">
        <v>286</v>
      </c>
      <c r="K55" s="121" t="s">
        <v>280</v>
      </c>
      <c r="L55" s="121" t="s">
        <v>388</v>
      </c>
      <c r="M55" s="121" t="s">
        <v>367</v>
      </c>
      <c r="N55" s="121" t="s">
        <v>375</v>
      </c>
      <c r="O55" s="121" t="s">
        <v>369</v>
      </c>
      <c r="P55" s="121">
        <v>3.0</v>
      </c>
      <c r="Q55" s="121" t="s">
        <v>267</v>
      </c>
      <c r="R55" s="121" t="s">
        <v>393</v>
      </c>
      <c r="S55" s="121" t="s">
        <v>370</v>
      </c>
      <c r="T55" s="121" t="s">
        <v>377</v>
      </c>
      <c r="U55" s="121" t="s">
        <v>461</v>
      </c>
      <c r="V55" s="121">
        <v>6.0</v>
      </c>
      <c r="W55" s="121" t="s">
        <v>266</v>
      </c>
      <c r="X55" s="121" t="s">
        <v>340</v>
      </c>
      <c r="Y55" s="121">
        <v>2.0</v>
      </c>
    </row>
    <row r="56" ht="22.5" customHeight="1">
      <c r="A56" s="120">
        <v>45582.491112337964</v>
      </c>
      <c r="B56" s="121" t="s">
        <v>459</v>
      </c>
      <c r="C56" s="121" t="s">
        <v>391</v>
      </c>
      <c r="D56" s="121" t="s">
        <v>406</v>
      </c>
      <c r="E56" s="121" t="s">
        <v>364</v>
      </c>
      <c r="F56" s="121" t="s">
        <v>373</v>
      </c>
      <c r="G56" s="121" t="s">
        <v>266</v>
      </c>
      <c r="H56" s="121">
        <v>3.0</v>
      </c>
      <c r="I56" s="121" t="s">
        <v>280</v>
      </c>
      <c r="J56" s="121" t="s">
        <v>284</v>
      </c>
      <c r="K56" s="121" t="s">
        <v>280</v>
      </c>
      <c r="L56" s="121" t="s">
        <v>427</v>
      </c>
      <c r="M56" s="121" t="s">
        <v>389</v>
      </c>
      <c r="N56" s="121" t="s">
        <v>382</v>
      </c>
      <c r="O56" s="121" t="s">
        <v>369</v>
      </c>
      <c r="P56" s="121">
        <v>2.0</v>
      </c>
      <c r="Q56" s="121" t="s">
        <v>266</v>
      </c>
      <c r="R56" s="121" t="s">
        <v>370</v>
      </c>
      <c r="S56" s="121" t="s">
        <v>370</v>
      </c>
      <c r="T56" s="121" t="s">
        <v>377</v>
      </c>
      <c r="U56" s="121" t="s">
        <v>433</v>
      </c>
      <c r="V56" s="121">
        <v>4.0</v>
      </c>
      <c r="W56" s="121" t="s">
        <v>266</v>
      </c>
      <c r="X56" s="121" t="s">
        <v>341</v>
      </c>
      <c r="Y56" s="121">
        <v>1.0</v>
      </c>
    </row>
    <row r="57" ht="22.5" customHeight="1">
      <c r="A57" s="120">
        <v>45582.49318740741</v>
      </c>
      <c r="B57" s="121" t="s">
        <v>459</v>
      </c>
      <c r="C57" s="121" t="s">
        <v>410</v>
      </c>
      <c r="D57" s="121" t="s">
        <v>380</v>
      </c>
      <c r="E57" s="121" t="s">
        <v>419</v>
      </c>
      <c r="F57" s="121" t="s">
        <v>411</v>
      </c>
      <c r="G57" s="121" t="s">
        <v>267</v>
      </c>
      <c r="H57" s="121">
        <v>5.0</v>
      </c>
      <c r="I57" s="121" t="s">
        <v>267</v>
      </c>
      <c r="J57" s="121" t="s">
        <v>285</v>
      </c>
      <c r="K57" s="121" t="s">
        <v>267</v>
      </c>
      <c r="L57" s="121" t="s">
        <v>381</v>
      </c>
      <c r="M57" s="121" t="s">
        <v>413</v>
      </c>
      <c r="N57" s="121" t="s">
        <v>375</v>
      </c>
      <c r="O57" s="121" t="s">
        <v>369</v>
      </c>
      <c r="P57" s="121">
        <v>5.0</v>
      </c>
      <c r="Q57" s="121" t="s">
        <v>267</v>
      </c>
      <c r="R57" s="121" t="s">
        <v>370</v>
      </c>
      <c r="S57" s="121" t="s">
        <v>384</v>
      </c>
      <c r="T57" s="121" t="s">
        <v>402</v>
      </c>
      <c r="U57" s="121" t="s">
        <v>454</v>
      </c>
      <c r="V57" s="121">
        <v>9.0</v>
      </c>
      <c r="W57" s="121" t="s">
        <v>267</v>
      </c>
      <c r="Y57" s="121">
        <v>5.0</v>
      </c>
    </row>
    <row r="58" ht="22.5" customHeight="1">
      <c r="A58" s="120">
        <v>45582.49457193287</v>
      </c>
      <c r="B58" s="121" t="s">
        <v>459</v>
      </c>
      <c r="C58" s="121" t="s">
        <v>395</v>
      </c>
      <c r="D58" s="121" t="s">
        <v>363</v>
      </c>
      <c r="E58" s="121" t="s">
        <v>387</v>
      </c>
      <c r="F58" s="121" t="s">
        <v>411</v>
      </c>
      <c r="H58" s="121">
        <v>3.0</v>
      </c>
      <c r="J58" s="121" t="s">
        <v>283</v>
      </c>
      <c r="L58" s="121" t="s">
        <v>427</v>
      </c>
      <c r="M58" s="121" t="s">
        <v>367</v>
      </c>
      <c r="N58" s="121" t="s">
        <v>368</v>
      </c>
      <c r="O58" s="121" t="s">
        <v>369</v>
      </c>
      <c r="P58" s="121">
        <v>3.0</v>
      </c>
      <c r="S58" s="121" t="s">
        <v>408</v>
      </c>
      <c r="T58" s="121" t="s">
        <v>397</v>
      </c>
      <c r="U58" s="121" t="s">
        <v>398</v>
      </c>
      <c r="V58" s="121">
        <v>6.0</v>
      </c>
      <c r="X58" s="121" t="s">
        <v>342</v>
      </c>
      <c r="Y58" s="121">
        <v>3.0</v>
      </c>
    </row>
    <row r="59" ht="22.5" customHeight="1">
      <c r="A59" s="120">
        <v>45582.49546822917</v>
      </c>
      <c r="B59" s="121" t="s">
        <v>459</v>
      </c>
      <c r="C59" s="121" t="s">
        <v>462</v>
      </c>
      <c r="D59" s="121" t="s">
        <v>406</v>
      </c>
      <c r="E59" s="121" t="s">
        <v>364</v>
      </c>
      <c r="F59" s="121" t="s">
        <v>373</v>
      </c>
      <c r="G59" s="121" t="s">
        <v>266</v>
      </c>
      <c r="H59" s="121">
        <v>2.0</v>
      </c>
      <c r="I59" s="121" t="s">
        <v>280</v>
      </c>
      <c r="K59" s="121" t="s">
        <v>280</v>
      </c>
      <c r="L59" s="121" t="s">
        <v>366</v>
      </c>
      <c r="M59" s="121" t="s">
        <v>374</v>
      </c>
      <c r="N59" s="121" t="s">
        <v>368</v>
      </c>
      <c r="O59" s="121" t="s">
        <v>376</v>
      </c>
      <c r="P59" s="121">
        <v>2.0</v>
      </c>
      <c r="Q59" s="121" t="s">
        <v>266</v>
      </c>
      <c r="R59" s="121" t="s">
        <v>370</v>
      </c>
      <c r="S59" s="121" t="s">
        <v>431</v>
      </c>
      <c r="T59" s="121" t="s">
        <v>402</v>
      </c>
      <c r="U59" s="121" t="s">
        <v>463</v>
      </c>
      <c r="V59" s="121">
        <v>3.0</v>
      </c>
      <c r="W59" s="121" t="s">
        <v>266</v>
      </c>
      <c r="Y59" s="121">
        <v>3.0</v>
      </c>
    </row>
    <row r="60" ht="22.5" customHeight="1">
      <c r="A60" s="120">
        <v>45582.49576243055</v>
      </c>
      <c r="B60" s="121" t="s">
        <v>459</v>
      </c>
      <c r="C60" s="121" t="s">
        <v>416</v>
      </c>
      <c r="D60" s="121" t="s">
        <v>363</v>
      </c>
      <c r="E60" s="121" t="s">
        <v>364</v>
      </c>
      <c r="F60" s="121" t="s">
        <v>373</v>
      </c>
      <c r="G60" s="121" t="s">
        <v>267</v>
      </c>
      <c r="H60" s="121">
        <v>3.0</v>
      </c>
      <c r="I60" s="121" t="s">
        <v>267</v>
      </c>
      <c r="J60" s="121" t="s">
        <v>62</v>
      </c>
      <c r="K60" s="121" t="s">
        <v>280</v>
      </c>
      <c r="L60" s="121" t="s">
        <v>366</v>
      </c>
      <c r="M60" s="121" t="s">
        <v>374</v>
      </c>
      <c r="N60" s="121" t="s">
        <v>375</v>
      </c>
      <c r="O60" s="121" t="s">
        <v>369</v>
      </c>
      <c r="P60" s="121">
        <v>3.0</v>
      </c>
      <c r="Q60" s="121" t="s">
        <v>267</v>
      </c>
      <c r="R60" s="121" t="s">
        <v>370</v>
      </c>
      <c r="S60" s="121" t="s">
        <v>384</v>
      </c>
      <c r="T60" s="121" t="s">
        <v>377</v>
      </c>
      <c r="U60" s="121" t="s">
        <v>437</v>
      </c>
      <c r="V60" s="121">
        <v>7.0</v>
      </c>
      <c r="W60" s="121" t="s">
        <v>266</v>
      </c>
      <c r="Y60" s="121">
        <v>4.0</v>
      </c>
    </row>
    <row r="61" ht="22.5" customHeight="1">
      <c r="A61" s="120">
        <v>45582.49694652778</v>
      </c>
      <c r="B61" s="121" t="s">
        <v>459</v>
      </c>
      <c r="C61" s="121" t="s">
        <v>418</v>
      </c>
      <c r="D61" s="121" t="s">
        <v>363</v>
      </c>
      <c r="E61" s="121" t="s">
        <v>387</v>
      </c>
      <c r="F61" s="121" t="s">
        <v>365</v>
      </c>
      <c r="G61" s="121" t="s">
        <v>267</v>
      </c>
      <c r="H61" s="121">
        <v>3.0</v>
      </c>
      <c r="I61" s="121" t="s">
        <v>266</v>
      </c>
      <c r="J61" s="121" t="s">
        <v>62</v>
      </c>
      <c r="K61" s="121" t="s">
        <v>280</v>
      </c>
      <c r="L61" s="121" t="s">
        <v>381</v>
      </c>
      <c r="M61" s="121" t="s">
        <v>374</v>
      </c>
      <c r="N61" s="121" t="s">
        <v>375</v>
      </c>
      <c r="O61" s="121" t="s">
        <v>369</v>
      </c>
      <c r="P61" s="121">
        <v>4.0</v>
      </c>
      <c r="Q61" s="121" t="s">
        <v>267</v>
      </c>
      <c r="R61" s="121" t="s">
        <v>401</v>
      </c>
      <c r="S61" s="121" t="s">
        <v>431</v>
      </c>
      <c r="T61" s="121" t="s">
        <v>414</v>
      </c>
      <c r="U61" s="121" t="s">
        <v>447</v>
      </c>
      <c r="V61" s="121">
        <v>6.0</v>
      </c>
      <c r="W61" s="121" t="s">
        <v>267</v>
      </c>
      <c r="X61" s="121" t="s">
        <v>343</v>
      </c>
      <c r="Y61" s="121">
        <v>3.0</v>
      </c>
    </row>
    <row r="62" ht="22.5" customHeight="1">
      <c r="A62" s="120">
        <v>45582.57754054398</v>
      </c>
      <c r="B62" s="121" t="s">
        <v>442</v>
      </c>
      <c r="C62" s="121" t="s">
        <v>399</v>
      </c>
      <c r="D62" s="121" t="s">
        <v>429</v>
      </c>
      <c r="E62" s="121" t="s">
        <v>364</v>
      </c>
      <c r="F62" s="121" t="s">
        <v>365</v>
      </c>
      <c r="G62" s="121" t="s">
        <v>266</v>
      </c>
      <c r="H62" s="121">
        <v>4.0</v>
      </c>
      <c r="I62" s="121" t="s">
        <v>280</v>
      </c>
      <c r="J62" s="121" t="s">
        <v>284</v>
      </c>
      <c r="K62" s="121" t="s">
        <v>280</v>
      </c>
      <c r="L62" s="121" t="s">
        <v>427</v>
      </c>
      <c r="M62" s="121" t="s">
        <v>367</v>
      </c>
      <c r="N62" s="121" t="s">
        <v>428</v>
      </c>
      <c r="O62" s="121" t="s">
        <v>400</v>
      </c>
      <c r="P62" s="121">
        <v>2.0</v>
      </c>
      <c r="Q62" s="121" t="s">
        <v>266</v>
      </c>
      <c r="R62" s="121" t="s">
        <v>370</v>
      </c>
      <c r="S62" s="121" t="s">
        <v>384</v>
      </c>
      <c r="T62" s="121" t="s">
        <v>414</v>
      </c>
      <c r="V62" s="121">
        <v>3.0</v>
      </c>
      <c r="W62" s="121" t="s">
        <v>266</v>
      </c>
      <c r="X62" s="121" t="s">
        <v>338</v>
      </c>
      <c r="Y62" s="121">
        <v>4.0</v>
      </c>
    </row>
    <row r="63" ht="22.5" customHeight="1">
      <c r="A63" s="120">
        <v>45582.5846421412</v>
      </c>
      <c r="B63" s="121" t="s">
        <v>446</v>
      </c>
      <c r="C63" s="121" t="s">
        <v>399</v>
      </c>
      <c r="D63" s="121" t="s">
        <v>363</v>
      </c>
      <c r="E63" s="121" t="s">
        <v>364</v>
      </c>
      <c r="F63" s="121" t="s">
        <v>411</v>
      </c>
      <c r="G63" s="121" t="s">
        <v>267</v>
      </c>
      <c r="H63" s="121">
        <v>5.0</v>
      </c>
      <c r="I63" s="121" t="s">
        <v>280</v>
      </c>
      <c r="J63" s="121" t="s">
        <v>62</v>
      </c>
      <c r="K63" s="121" t="s">
        <v>267</v>
      </c>
      <c r="L63" s="121" t="s">
        <v>366</v>
      </c>
      <c r="M63" s="121" t="s">
        <v>367</v>
      </c>
      <c r="N63" s="121" t="s">
        <v>368</v>
      </c>
      <c r="O63" s="121" t="s">
        <v>396</v>
      </c>
      <c r="P63" s="121">
        <v>3.0</v>
      </c>
      <c r="Q63" s="121" t="s">
        <v>267</v>
      </c>
      <c r="R63" s="121" t="s">
        <v>370</v>
      </c>
      <c r="S63" s="121" t="s">
        <v>384</v>
      </c>
      <c r="T63" s="121" t="s">
        <v>397</v>
      </c>
      <c r="U63" s="121" t="s">
        <v>449</v>
      </c>
      <c r="V63" s="121">
        <v>8.0</v>
      </c>
      <c r="W63" s="121" t="s">
        <v>266</v>
      </c>
      <c r="X63" s="121" t="s">
        <v>350</v>
      </c>
      <c r="Y63" s="121">
        <v>4.0</v>
      </c>
    </row>
    <row r="64" ht="22.5" customHeight="1">
      <c r="A64" s="120">
        <v>45582.5906369213</v>
      </c>
      <c r="B64" s="121" t="s">
        <v>452</v>
      </c>
      <c r="C64" s="121" t="s">
        <v>399</v>
      </c>
      <c r="D64" s="121" t="s">
        <v>380</v>
      </c>
      <c r="E64" s="121" t="s">
        <v>387</v>
      </c>
      <c r="F64" s="121" t="s">
        <v>392</v>
      </c>
      <c r="G64" s="121" t="s">
        <v>267</v>
      </c>
      <c r="H64" s="121">
        <v>5.0</v>
      </c>
      <c r="I64" s="121" t="s">
        <v>267</v>
      </c>
      <c r="J64" s="121" t="s">
        <v>62</v>
      </c>
      <c r="K64" s="121" t="s">
        <v>266</v>
      </c>
      <c r="L64" s="121" t="s">
        <v>366</v>
      </c>
      <c r="M64" s="121" t="s">
        <v>374</v>
      </c>
      <c r="N64" s="121" t="s">
        <v>375</v>
      </c>
      <c r="O64" s="121" t="s">
        <v>400</v>
      </c>
      <c r="P64" s="121">
        <v>4.0</v>
      </c>
      <c r="Q64" s="121" t="s">
        <v>267</v>
      </c>
      <c r="R64" s="121" t="s">
        <v>370</v>
      </c>
      <c r="S64" s="121" t="s">
        <v>384</v>
      </c>
      <c r="T64" s="121" t="s">
        <v>402</v>
      </c>
      <c r="U64" s="121" t="s">
        <v>458</v>
      </c>
      <c r="V64" s="121">
        <v>9.0</v>
      </c>
      <c r="W64" s="121" t="s">
        <v>267</v>
      </c>
      <c r="X64" s="121" t="s">
        <v>330</v>
      </c>
      <c r="Y64" s="121">
        <v>5.0</v>
      </c>
    </row>
    <row r="65" ht="22.5" customHeight="1">
      <c r="A65" s="120">
        <v>45582.59442609954</v>
      </c>
      <c r="B65" s="121" t="s">
        <v>459</v>
      </c>
      <c r="C65" s="121" t="s">
        <v>399</v>
      </c>
      <c r="D65" s="121" t="s">
        <v>363</v>
      </c>
      <c r="E65" s="121" t="s">
        <v>387</v>
      </c>
      <c r="F65" s="121" t="s">
        <v>373</v>
      </c>
      <c r="H65" s="121">
        <v>5.0</v>
      </c>
      <c r="I65" s="121" t="s">
        <v>280</v>
      </c>
      <c r="J65" s="121" t="s">
        <v>283</v>
      </c>
      <c r="K65" s="121" t="s">
        <v>267</v>
      </c>
      <c r="M65" s="121" t="s">
        <v>420</v>
      </c>
      <c r="N65" s="121" t="s">
        <v>382</v>
      </c>
      <c r="O65" s="121" t="s">
        <v>376</v>
      </c>
      <c r="P65" s="121">
        <v>4.0</v>
      </c>
      <c r="Q65" s="121" t="s">
        <v>267</v>
      </c>
      <c r="R65" s="121" t="s">
        <v>393</v>
      </c>
      <c r="S65" s="121" t="s">
        <v>408</v>
      </c>
      <c r="T65" s="121" t="s">
        <v>402</v>
      </c>
      <c r="V65" s="121">
        <v>8.0</v>
      </c>
      <c r="W65" s="121" t="s">
        <v>266</v>
      </c>
      <c r="X65" s="121" t="s">
        <v>344</v>
      </c>
      <c r="Y65" s="121">
        <v>4.0</v>
      </c>
    </row>
    <row r="66" ht="22.5" customHeight="1">
      <c r="A66" s="120">
        <v>45582.79732199074</v>
      </c>
      <c r="B66" s="121" t="s">
        <v>452</v>
      </c>
      <c r="C66" s="121" t="s">
        <v>379</v>
      </c>
      <c r="D66" s="121" t="s">
        <v>380</v>
      </c>
      <c r="E66" s="121" t="s">
        <v>419</v>
      </c>
      <c r="F66" s="121" t="s">
        <v>411</v>
      </c>
      <c r="G66" s="121" t="s">
        <v>267</v>
      </c>
      <c r="H66" s="121">
        <v>3.0</v>
      </c>
      <c r="I66" s="121" t="s">
        <v>266</v>
      </c>
      <c r="J66" s="121" t="s">
        <v>62</v>
      </c>
      <c r="K66" s="121" t="s">
        <v>266</v>
      </c>
      <c r="L66" s="121" t="s">
        <v>381</v>
      </c>
      <c r="M66" s="121" t="s">
        <v>420</v>
      </c>
      <c r="N66" s="121" t="s">
        <v>375</v>
      </c>
      <c r="O66" s="121" t="s">
        <v>400</v>
      </c>
      <c r="P66" s="121">
        <v>4.0</v>
      </c>
      <c r="Q66" s="121" t="s">
        <v>267</v>
      </c>
      <c r="R66" s="121" t="s">
        <v>401</v>
      </c>
      <c r="S66" s="121" t="s">
        <v>384</v>
      </c>
      <c r="T66" s="121" t="s">
        <v>421</v>
      </c>
      <c r="U66" s="121" t="s">
        <v>398</v>
      </c>
      <c r="V66" s="121">
        <v>9.0</v>
      </c>
      <c r="W66" s="121" t="s">
        <v>267</v>
      </c>
      <c r="Y66" s="121">
        <v>5.0</v>
      </c>
    </row>
    <row r="67" ht="22.5" customHeight="1">
      <c r="A67" s="120">
        <v>45582.79970974537</v>
      </c>
      <c r="B67" s="121" t="s">
        <v>459</v>
      </c>
      <c r="C67" s="121" t="s">
        <v>379</v>
      </c>
      <c r="D67" s="121" t="s">
        <v>363</v>
      </c>
      <c r="E67" s="121" t="s">
        <v>387</v>
      </c>
      <c r="F67" s="121" t="s">
        <v>365</v>
      </c>
      <c r="G67" s="121" t="s">
        <v>267</v>
      </c>
      <c r="H67" s="121">
        <v>4.0</v>
      </c>
      <c r="I67" s="121" t="s">
        <v>266</v>
      </c>
      <c r="J67" s="121" t="s">
        <v>283</v>
      </c>
      <c r="K67" s="121" t="s">
        <v>267</v>
      </c>
      <c r="L67" s="121" t="s">
        <v>388</v>
      </c>
      <c r="M67" s="121" t="s">
        <v>374</v>
      </c>
      <c r="N67" s="121" t="s">
        <v>382</v>
      </c>
      <c r="O67" s="121" t="s">
        <v>396</v>
      </c>
      <c r="P67" s="121">
        <v>4.0</v>
      </c>
      <c r="Q67" s="121" t="s">
        <v>267</v>
      </c>
      <c r="R67" s="121" t="s">
        <v>430</v>
      </c>
      <c r="S67" s="121" t="s">
        <v>384</v>
      </c>
      <c r="T67" s="121" t="s">
        <v>414</v>
      </c>
      <c r="U67" s="121" t="s">
        <v>464</v>
      </c>
      <c r="V67" s="121">
        <v>7.0</v>
      </c>
      <c r="W67" s="121" t="s">
        <v>267</v>
      </c>
      <c r="Y67" s="121">
        <v>4.0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3.25"/>
    <col customWidth="1" min="3" max="3" width="26.75"/>
    <col customWidth="1" min="4" max="4" width="27.25"/>
    <col customWidth="1" min="5" max="5" width="56.63"/>
    <col customWidth="1" min="6" max="6" width="44.13"/>
    <col customWidth="1" min="7" max="7" width="49.13"/>
    <col customWidth="1" min="8" max="8" width="24.0"/>
    <col customWidth="1" min="9" max="9" width="49.13"/>
    <col customWidth="1" min="10" max="10" width="73.25"/>
    <col customWidth="1" min="11" max="11" width="68.5"/>
    <col customWidth="1" min="12" max="12" width="39.38"/>
    <col customWidth="1" min="13" max="13" width="38.5"/>
    <col customWidth="1" min="14" max="14" width="41.63"/>
    <col customWidth="1" min="15" max="15" width="47.63"/>
    <col customWidth="1" min="16" max="16" width="52.13"/>
    <col customWidth="1" min="17" max="17" width="30.13"/>
    <col customWidth="1" min="18" max="18" width="110.63"/>
    <col customWidth="1" min="19" max="19" width="148.38"/>
    <col customWidth="1" min="20" max="20" width="38.0"/>
    <col customWidth="1" min="21" max="21" width="40.88"/>
    <col customWidth="1" min="22" max="22" width="308.88"/>
    <col customWidth="1" min="23" max="23" width="78.88"/>
  </cols>
  <sheetData>
    <row r="1">
      <c r="A1" s="122" t="s">
        <v>255</v>
      </c>
      <c r="B1" s="122" t="s">
        <v>268</v>
      </c>
      <c r="C1" s="122" t="s">
        <v>270</v>
      </c>
      <c r="D1" s="122" t="s">
        <v>272</v>
      </c>
      <c r="E1" s="122" t="s">
        <v>274</v>
      </c>
      <c r="F1" s="122" t="s">
        <v>276</v>
      </c>
      <c r="G1" s="122" t="s">
        <v>278</v>
      </c>
      <c r="H1" s="122" t="s">
        <v>281</v>
      </c>
      <c r="I1" s="122" t="s">
        <v>287</v>
      </c>
      <c r="J1" s="122" t="s">
        <v>289</v>
      </c>
      <c r="K1" s="122" t="s">
        <v>291</v>
      </c>
      <c r="L1" s="122" t="s">
        <v>293</v>
      </c>
      <c r="M1" s="122" t="s">
        <v>295</v>
      </c>
      <c r="N1" s="122" t="s">
        <v>297</v>
      </c>
      <c r="O1" s="122" t="s">
        <v>303</v>
      </c>
      <c r="P1" s="122" t="s">
        <v>304</v>
      </c>
      <c r="Q1" s="122" t="s">
        <v>306</v>
      </c>
      <c r="R1" s="122" t="s">
        <v>308</v>
      </c>
      <c r="S1" s="123" t="s">
        <v>360</v>
      </c>
      <c r="T1" s="122" t="s">
        <v>254</v>
      </c>
      <c r="U1" s="122" t="s">
        <v>264</v>
      </c>
      <c r="V1" s="123" t="s">
        <v>317</v>
      </c>
      <c r="W1" s="124" t="s">
        <v>299</v>
      </c>
    </row>
    <row r="2">
      <c r="A2" s="76" t="s">
        <v>257</v>
      </c>
      <c r="B2" s="76">
        <v>3.0</v>
      </c>
      <c r="C2" s="76">
        <v>1.0</v>
      </c>
      <c r="D2" s="76">
        <v>3.0</v>
      </c>
      <c r="E2" s="76" t="s">
        <v>266</v>
      </c>
      <c r="F2" s="76">
        <v>2.0</v>
      </c>
      <c r="G2" s="76" t="s">
        <v>267</v>
      </c>
      <c r="H2" s="76" t="s">
        <v>283</v>
      </c>
      <c r="I2" s="76" t="s">
        <v>280</v>
      </c>
      <c r="J2" s="76">
        <v>3.0</v>
      </c>
      <c r="K2" s="76">
        <v>2.0</v>
      </c>
      <c r="L2" s="76">
        <v>3.0</v>
      </c>
      <c r="M2" s="76">
        <v>4.0</v>
      </c>
      <c r="N2" s="76">
        <v>2.0</v>
      </c>
      <c r="O2" s="76" t="s">
        <v>266</v>
      </c>
      <c r="P2" s="76">
        <v>0.0</v>
      </c>
      <c r="Q2" s="76">
        <v>0.0</v>
      </c>
      <c r="S2" s="76" t="s">
        <v>371</v>
      </c>
      <c r="T2" s="76">
        <v>6.0</v>
      </c>
      <c r="U2" s="76" t="s">
        <v>266</v>
      </c>
      <c r="W2" s="76">
        <v>3.0</v>
      </c>
    </row>
    <row r="3">
      <c r="A3" s="76" t="s">
        <v>257</v>
      </c>
      <c r="B3" s="76">
        <v>3.0</v>
      </c>
      <c r="C3" s="76">
        <v>1.0</v>
      </c>
      <c r="D3" s="76">
        <v>1.0</v>
      </c>
      <c r="E3" s="76" t="s">
        <v>266</v>
      </c>
      <c r="F3" s="76">
        <v>1.0</v>
      </c>
      <c r="G3" s="76" t="s">
        <v>280</v>
      </c>
      <c r="H3" s="76" t="s">
        <v>62</v>
      </c>
      <c r="I3" s="76" t="s">
        <v>280</v>
      </c>
      <c r="J3" s="76">
        <v>3.0</v>
      </c>
      <c r="K3" s="76">
        <v>3.0</v>
      </c>
      <c r="L3" s="76">
        <v>4.0</v>
      </c>
      <c r="M3" s="76">
        <v>3.0</v>
      </c>
      <c r="N3" s="76">
        <v>2.0</v>
      </c>
      <c r="O3" s="76" t="s">
        <v>267</v>
      </c>
      <c r="P3" s="76">
        <v>0.0</v>
      </c>
      <c r="Q3" s="76">
        <v>0.0</v>
      </c>
      <c r="R3" s="76">
        <v>1.0</v>
      </c>
      <c r="S3" s="76" t="s">
        <v>378</v>
      </c>
      <c r="T3" s="76">
        <v>5.0</v>
      </c>
      <c r="U3" s="76" t="s">
        <v>266</v>
      </c>
      <c r="V3" s="76" t="s">
        <v>318</v>
      </c>
      <c r="W3" s="76">
        <v>3.0</v>
      </c>
    </row>
    <row r="4">
      <c r="A4" s="76" t="s">
        <v>257</v>
      </c>
      <c r="B4" s="76">
        <v>4.0</v>
      </c>
      <c r="C4" s="76">
        <v>1.0</v>
      </c>
      <c r="D4" s="76">
        <v>3.0</v>
      </c>
      <c r="E4" s="76" t="s">
        <v>267</v>
      </c>
      <c r="F4" s="76">
        <v>3.0</v>
      </c>
      <c r="G4" s="76" t="s">
        <v>266</v>
      </c>
      <c r="H4" s="76" t="s">
        <v>62</v>
      </c>
      <c r="I4" s="76" t="s">
        <v>267</v>
      </c>
      <c r="J4" s="76">
        <v>4.0</v>
      </c>
      <c r="K4" s="76">
        <v>2.0</v>
      </c>
      <c r="L4" s="76">
        <v>5.0</v>
      </c>
      <c r="M4" s="76">
        <v>4.0</v>
      </c>
      <c r="N4" s="76">
        <v>4.0</v>
      </c>
      <c r="O4" s="76" t="s">
        <v>267</v>
      </c>
      <c r="P4" s="76">
        <v>5.0</v>
      </c>
      <c r="Q4" s="76">
        <v>5.0</v>
      </c>
      <c r="R4" s="76">
        <v>1.0</v>
      </c>
      <c r="S4" s="76" t="s">
        <v>385</v>
      </c>
      <c r="T4" s="76">
        <v>7.0</v>
      </c>
      <c r="U4" s="76" t="s">
        <v>267</v>
      </c>
      <c r="W4" s="76">
        <v>4.0</v>
      </c>
    </row>
    <row r="5">
      <c r="A5" s="76" t="s">
        <v>257</v>
      </c>
      <c r="B5" s="76">
        <v>3.0</v>
      </c>
      <c r="C5" s="76">
        <v>2.0</v>
      </c>
      <c r="D5" s="76">
        <v>3.0</v>
      </c>
      <c r="E5" s="76" t="s">
        <v>266</v>
      </c>
      <c r="F5" s="76">
        <v>3.0</v>
      </c>
      <c r="G5" s="76" t="s">
        <v>267</v>
      </c>
      <c r="H5" s="76" t="s">
        <v>284</v>
      </c>
      <c r="I5" s="76" t="s">
        <v>280</v>
      </c>
      <c r="J5" s="76">
        <v>2.0</v>
      </c>
      <c r="K5" s="76">
        <v>1.0</v>
      </c>
      <c r="L5" s="76">
        <v>4.0</v>
      </c>
      <c r="M5" s="76">
        <v>4.0</v>
      </c>
      <c r="N5" s="76">
        <v>4.0</v>
      </c>
      <c r="O5" s="76" t="s">
        <v>267</v>
      </c>
      <c r="P5" s="76">
        <v>0.0</v>
      </c>
      <c r="Q5" s="76">
        <v>0.0</v>
      </c>
      <c r="R5" s="76">
        <v>1.0</v>
      </c>
      <c r="S5" s="76" t="s">
        <v>390</v>
      </c>
      <c r="T5" s="76">
        <v>5.0</v>
      </c>
      <c r="U5" s="76" t="s">
        <v>266</v>
      </c>
      <c r="W5" s="76">
        <v>4.0</v>
      </c>
    </row>
    <row r="6">
      <c r="A6" s="76" t="s">
        <v>257</v>
      </c>
      <c r="B6" s="76">
        <v>3.0</v>
      </c>
      <c r="C6" s="76">
        <v>1.0</v>
      </c>
      <c r="D6" s="76">
        <v>2.0</v>
      </c>
      <c r="E6" s="76" t="s">
        <v>266</v>
      </c>
      <c r="F6" s="76">
        <v>3.0</v>
      </c>
      <c r="G6" s="76" t="s">
        <v>267</v>
      </c>
      <c r="H6" s="76" t="s">
        <v>283</v>
      </c>
      <c r="I6" s="76" t="s">
        <v>280</v>
      </c>
      <c r="J6" s="76">
        <v>3.0</v>
      </c>
      <c r="K6" s="76">
        <v>2.0</v>
      </c>
      <c r="L6" s="76">
        <v>3.0</v>
      </c>
      <c r="M6" s="76">
        <v>4.0</v>
      </c>
      <c r="N6" s="76">
        <v>2.0</v>
      </c>
      <c r="O6" s="76" t="s">
        <v>266</v>
      </c>
      <c r="P6" s="76">
        <v>2.0</v>
      </c>
      <c r="Q6" s="76">
        <v>0.0</v>
      </c>
      <c r="R6" s="76">
        <v>1.0</v>
      </c>
      <c r="S6" s="76" t="s">
        <v>394</v>
      </c>
      <c r="T6" s="76">
        <v>6.0</v>
      </c>
      <c r="U6" s="76" t="s">
        <v>266</v>
      </c>
      <c r="V6" s="76" t="s">
        <v>319</v>
      </c>
      <c r="W6" s="76">
        <v>3.0</v>
      </c>
    </row>
    <row r="7">
      <c r="A7" s="76" t="s">
        <v>257</v>
      </c>
      <c r="B7" s="76">
        <v>3.0</v>
      </c>
      <c r="C7" s="76">
        <v>2.0</v>
      </c>
      <c r="D7" s="76">
        <v>3.0</v>
      </c>
      <c r="F7" s="76">
        <v>3.0</v>
      </c>
      <c r="H7" s="76" t="s">
        <v>62</v>
      </c>
      <c r="I7" s="76" t="s">
        <v>280</v>
      </c>
      <c r="J7" s="76">
        <v>2.0</v>
      </c>
      <c r="K7" s="76">
        <v>2.0</v>
      </c>
      <c r="L7" s="76">
        <v>3.0</v>
      </c>
      <c r="M7" s="76">
        <v>2.0</v>
      </c>
      <c r="N7" s="76">
        <v>3.0</v>
      </c>
      <c r="O7" s="76" t="s">
        <v>267</v>
      </c>
      <c r="P7" s="76">
        <v>2.0</v>
      </c>
      <c r="Q7" s="76">
        <v>0.0</v>
      </c>
      <c r="R7" s="76">
        <v>2.0</v>
      </c>
      <c r="S7" s="76" t="s">
        <v>398</v>
      </c>
      <c r="T7" s="76">
        <v>6.0</v>
      </c>
      <c r="U7" s="76" t="s">
        <v>267</v>
      </c>
      <c r="V7" s="76" t="s">
        <v>320</v>
      </c>
      <c r="W7" s="76">
        <v>3.0</v>
      </c>
    </row>
    <row r="8">
      <c r="A8" s="76" t="s">
        <v>257</v>
      </c>
      <c r="B8" s="76">
        <v>3.0</v>
      </c>
      <c r="C8" s="76">
        <v>1.0</v>
      </c>
      <c r="D8" s="76">
        <v>3.0</v>
      </c>
      <c r="E8" s="76" t="s">
        <v>267</v>
      </c>
      <c r="F8" s="76">
        <v>4.0</v>
      </c>
      <c r="G8" s="76" t="s">
        <v>280</v>
      </c>
      <c r="H8" s="76" t="s">
        <v>286</v>
      </c>
      <c r="I8" s="76" t="s">
        <v>280</v>
      </c>
      <c r="J8" s="76">
        <v>3.0</v>
      </c>
      <c r="K8" s="76">
        <v>2.0</v>
      </c>
      <c r="L8" s="76">
        <v>5.0</v>
      </c>
      <c r="M8" s="76">
        <v>5.0</v>
      </c>
      <c r="N8" s="76">
        <v>4.0</v>
      </c>
      <c r="O8" s="76" t="s">
        <v>267</v>
      </c>
      <c r="P8" s="76">
        <v>4.0</v>
      </c>
      <c r="Q8" s="76">
        <v>5.0</v>
      </c>
      <c r="R8" s="76">
        <v>3.0</v>
      </c>
      <c r="S8" s="76" t="s">
        <v>403</v>
      </c>
      <c r="T8" s="76">
        <v>8.0</v>
      </c>
      <c r="U8" s="76" t="s">
        <v>267</v>
      </c>
      <c r="V8" s="76" t="s">
        <v>404</v>
      </c>
      <c r="W8" s="76">
        <v>4.0</v>
      </c>
    </row>
    <row r="9">
      <c r="A9" s="76" t="s">
        <v>257</v>
      </c>
      <c r="B9" s="76">
        <v>1.0</v>
      </c>
      <c r="C9" s="76">
        <v>1.0</v>
      </c>
      <c r="D9" s="76">
        <v>2.0</v>
      </c>
      <c r="E9" s="76" t="s">
        <v>267</v>
      </c>
      <c r="F9" s="76">
        <v>3.0</v>
      </c>
      <c r="G9" s="76" t="s">
        <v>267</v>
      </c>
      <c r="H9" s="76" t="s">
        <v>283</v>
      </c>
      <c r="I9" s="76" t="s">
        <v>267</v>
      </c>
      <c r="L9" s="76">
        <v>4.0</v>
      </c>
      <c r="M9" s="76">
        <v>1.0</v>
      </c>
      <c r="N9" s="76">
        <v>4.0</v>
      </c>
      <c r="O9" s="76" t="s">
        <v>266</v>
      </c>
      <c r="P9" s="76">
        <v>5.0</v>
      </c>
      <c r="Q9" s="76">
        <v>4.0</v>
      </c>
      <c r="R9" s="76">
        <v>3.0</v>
      </c>
      <c r="S9" s="76" t="s">
        <v>409</v>
      </c>
      <c r="T9" s="76">
        <v>8.0</v>
      </c>
      <c r="U9" s="76" t="s">
        <v>267</v>
      </c>
      <c r="V9" s="76" t="s">
        <v>321</v>
      </c>
      <c r="W9" s="76">
        <v>3.0</v>
      </c>
    </row>
    <row r="10">
      <c r="A10" s="76" t="s">
        <v>257</v>
      </c>
      <c r="B10" s="76">
        <v>4.0</v>
      </c>
      <c r="C10" s="76">
        <v>2.0</v>
      </c>
      <c r="D10" s="76">
        <v>4.0</v>
      </c>
      <c r="E10" s="76" t="s">
        <v>267</v>
      </c>
      <c r="F10" s="76">
        <v>5.0</v>
      </c>
      <c r="G10" s="76" t="s">
        <v>280</v>
      </c>
      <c r="H10" s="76" t="s">
        <v>62</v>
      </c>
      <c r="I10" s="76" t="s">
        <v>267</v>
      </c>
      <c r="J10" s="76">
        <v>5.0</v>
      </c>
      <c r="K10" s="76">
        <v>5.0</v>
      </c>
      <c r="L10" s="76">
        <v>4.0</v>
      </c>
      <c r="M10" s="76">
        <v>5.0</v>
      </c>
      <c r="N10" s="76">
        <v>5.0</v>
      </c>
      <c r="O10" s="76" t="s">
        <v>267</v>
      </c>
      <c r="P10" s="76">
        <v>4.0</v>
      </c>
      <c r="Q10" s="76">
        <v>5.0</v>
      </c>
      <c r="R10" s="76">
        <v>4.0</v>
      </c>
      <c r="S10" s="76" t="s">
        <v>415</v>
      </c>
      <c r="T10" s="76">
        <v>10.0</v>
      </c>
      <c r="U10" s="76" t="s">
        <v>267</v>
      </c>
      <c r="W10" s="76">
        <v>5.0</v>
      </c>
    </row>
    <row r="11">
      <c r="A11" s="76" t="s">
        <v>257</v>
      </c>
      <c r="B11" s="76">
        <v>4.0</v>
      </c>
      <c r="C11" s="76">
        <v>2.0</v>
      </c>
      <c r="D11" s="76">
        <v>1.0</v>
      </c>
      <c r="E11" s="76" t="s">
        <v>266</v>
      </c>
      <c r="F11" s="76">
        <v>4.0</v>
      </c>
      <c r="G11" s="76" t="s">
        <v>267</v>
      </c>
      <c r="H11" s="76" t="s">
        <v>62</v>
      </c>
      <c r="I11" s="76" t="s">
        <v>280</v>
      </c>
      <c r="J11" s="76">
        <v>3.0</v>
      </c>
      <c r="K11" s="76">
        <v>3.0</v>
      </c>
      <c r="L11" s="76">
        <v>5.0</v>
      </c>
      <c r="M11" s="76">
        <v>4.0</v>
      </c>
      <c r="N11" s="76">
        <v>4.0</v>
      </c>
      <c r="O11" s="76" t="s">
        <v>267</v>
      </c>
      <c r="P11" s="76">
        <v>0.0</v>
      </c>
      <c r="Q11" s="76">
        <v>5.0</v>
      </c>
      <c r="R11" s="76">
        <v>1.0</v>
      </c>
      <c r="S11" s="76" t="s">
        <v>417</v>
      </c>
      <c r="T11" s="76">
        <v>8.0</v>
      </c>
      <c r="U11" s="76" t="s">
        <v>267</v>
      </c>
      <c r="W11" s="76">
        <v>4.0</v>
      </c>
    </row>
    <row r="12">
      <c r="A12" s="76" t="s">
        <v>257</v>
      </c>
      <c r="B12" s="76">
        <v>4.0</v>
      </c>
      <c r="C12" s="76">
        <v>3.0</v>
      </c>
      <c r="D12" s="76">
        <v>3.0</v>
      </c>
      <c r="E12" s="76" t="s">
        <v>267</v>
      </c>
      <c r="F12" s="76">
        <v>5.0</v>
      </c>
      <c r="G12" s="76" t="s">
        <v>266</v>
      </c>
      <c r="H12" s="76" t="s">
        <v>62</v>
      </c>
      <c r="I12" s="76" t="s">
        <v>280</v>
      </c>
      <c r="J12" s="76">
        <v>5.0</v>
      </c>
      <c r="K12" s="76">
        <v>4.0</v>
      </c>
      <c r="L12" s="76">
        <v>5.0</v>
      </c>
      <c r="M12" s="76">
        <v>5.0</v>
      </c>
      <c r="N12" s="76">
        <v>5.0</v>
      </c>
      <c r="O12" s="76" t="s">
        <v>267</v>
      </c>
      <c r="P12" s="76">
        <v>5.0</v>
      </c>
      <c r="Q12" s="76">
        <v>5.0</v>
      </c>
      <c r="R12" s="76">
        <v>5.0</v>
      </c>
      <c r="S12" s="76" t="s">
        <v>422</v>
      </c>
      <c r="T12" s="76">
        <v>9.0</v>
      </c>
      <c r="U12" s="76" t="s">
        <v>267</v>
      </c>
      <c r="V12" s="76" t="s">
        <v>322</v>
      </c>
      <c r="W12" s="76">
        <v>5.0</v>
      </c>
    </row>
    <row r="13">
      <c r="A13" s="76" t="s">
        <v>262</v>
      </c>
      <c r="B13" s="76">
        <v>4.0</v>
      </c>
      <c r="C13" s="76">
        <v>2.0</v>
      </c>
      <c r="D13" s="76">
        <v>1.0</v>
      </c>
      <c r="E13" s="76" t="s">
        <v>266</v>
      </c>
      <c r="F13" s="76">
        <v>3.0</v>
      </c>
      <c r="G13" s="76" t="s">
        <v>280</v>
      </c>
      <c r="H13" s="76" t="s">
        <v>284</v>
      </c>
      <c r="I13" s="76" t="s">
        <v>280</v>
      </c>
      <c r="J13" s="76">
        <v>2.0</v>
      </c>
      <c r="K13" s="76">
        <v>3.0</v>
      </c>
      <c r="L13" s="76">
        <v>3.0</v>
      </c>
      <c r="M13" s="76">
        <v>4.0</v>
      </c>
      <c r="N13" s="76">
        <v>3.0</v>
      </c>
      <c r="O13" s="76" t="s">
        <v>267</v>
      </c>
      <c r="P13" s="76">
        <v>1.0</v>
      </c>
      <c r="Q13" s="76">
        <v>0.0</v>
      </c>
      <c r="R13" s="76">
        <v>1.0</v>
      </c>
      <c r="S13" s="76" t="s">
        <v>426</v>
      </c>
      <c r="T13" s="76">
        <v>5.0</v>
      </c>
      <c r="U13" s="76" t="s">
        <v>266</v>
      </c>
      <c r="V13" s="76" t="s">
        <v>351</v>
      </c>
      <c r="W13" s="76">
        <v>3.0</v>
      </c>
    </row>
    <row r="14">
      <c r="A14" s="76" t="s">
        <v>262</v>
      </c>
      <c r="B14" s="76">
        <v>3.0</v>
      </c>
      <c r="C14" s="76">
        <v>2.0</v>
      </c>
      <c r="D14" s="76">
        <v>4.0</v>
      </c>
      <c r="E14" s="76" t="s">
        <v>266</v>
      </c>
      <c r="F14" s="76">
        <v>4.0</v>
      </c>
      <c r="G14" s="76" t="s">
        <v>280</v>
      </c>
      <c r="H14" s="76" t="s">
        <v>283</v>
      </c>
      <c r="I14" s="76" t="s">
        <v>280</v>
      </c>
      <c r="J14" s="76">
        <v>1.0</v>
      </c>
      <c r="K14" s="76">
        <v>2.0</v>
      </c>
      <c r="L14" s="76">
        <v>2.0</v>
      </c>
      <c r="M14" s="76">
        <v>2.0</v>
      </c>
      <c r="N14" s="76">
        <v>3.0</v>
      </c>
      <c r="P14" s="76">
        <v>2.0</v>
      </c>
      <c r="R14" s="76">
        <v>2.0</v>
      </c>
      <c r="S14" s="76" t="s">
        <v>398</v>
      </c>
      <c r="T14" s="76">
        <v>6.0</v>
      </c>
      <c r="V14" s="76" t="s">
        <v>352</v>
      </c>
      <c r="W14" s="76">
        <v>4.0</v>
      </c>
    </row>
    <row r="15">
      <c r="A15" s="76" t="s">
        <v>262</v>
      </c>
      <c r="B15" s="76">
        <v>2.0</v>
      </c>
      <c r="C15" s="76">
        <v>2.0</v>
      </c>
      <c r="D15" s="76">
        <v>3.0</v>
      </c>
      <c r="E15" s="76" t="s">
        <v>266</v>
      </c>
      <c r="F15" s="76">
        <v>4.0</v>
      </c>
      <c r="G15" s="76" t="s">
        <v>280</v>
      </c>
      <c r="H15" s="76" t="s">
        <v>284</v>
      </c>
      <c r="I15" s="76" t="s">
        <v>280</v>
      </c>
      <c r="J15" s="76">
        <v>3.0</v>
      </c>
      <c r="K15" s="76">
        <v>2.0</v>
      </c>
      <c r="L15" s="76">
        <v>3.0</v>
      </c>
      <c r="M15" s="76">
        <v>4.0</v>
      </c>
      <c r="N15" s="76">
        <v>3.0</v>
      </c>
      <c r="O15" s="76" t="s">
        <v>266</v>
      </c>
      <c r="P15" s="76">
        <v>3.0</v>
      </c>
      <c r="Q15" s="76">
        <v>3.0</v>
      </c>
      <c r="R15" s="76">
        <v>2.0</v>
      </c>
      <c r="S15" s="76" t="s">
        <v>432</v>
      </c>
      <c r="T15" s="76">
        <v>5.0</v>
      </c>
      <c r="U15" s="76" t="s">
        <v>266</v>
      </c>
      <c r="V15" s="76" t="s">
        <v>353</v>
      </c>
      <c r="W15" s="76">
        <v>2.0</v>
      </c>
    </row>
    <row r="16">
      <c r="A16" s="76" t="s">
        <v>262</v>
      </c>
      <c r="B16" s="76">
        <v>1.0</v>
      </c>
      <c r="C16" s="76">
        <v>1.0</v>
      </c>
      <c r="D16" s="76">
        <v>3.0</v>
      </c>
      <c r="E16" s="76" t="s">
        <v>266</v>
      </c>
      <c r="F16" s="76">
        <v>5.0</v>
      </c>
      <c r="G16" s="76" t="s">
        <v>267</v>
      </c>
      <c r="H16" s="76" t="s">
        <v>284</v>
      </c>
      <c r="I16" s="76" t="s">
        <v>267</v>
      </c>
      <c r="J16" s="76">
        <v>1.0</v>
      </c>
      <c r="K16" s="76">
        <v>1.0</v>
      </c>
      <c r="L16" s="76">
        <v>4.0</v>
      </c>
      <c r="M16" s="76">
        <v>4.0</v>
      </c>
      <c r="N16" s="76">
        <v>1.0</v>
      </c>
      <c r="O16" s="76" t="s">
        <v>267</v>
      </c>
      <c r="P16" s="76">
        <v>1.0</v>
      </c>
      <c r="Q16" s="76">
        <v>0.0</v>
      </c>
      <c r="R16" s="76">
        <v>3.0</v>
      </c>
      <c r="S16" s="76" t="s">
        <v>433</v>
      </c>
      <c r="T16" s="76">
        <v>4.0</v>
      </c>
      <c r="U16" s="76" t="s">
        <v>266</v>
      </c>
      <c r="V16" s="76" t="s">
        <v>354</v>
      </c>
      <c r="W16" s="76">
        <v>1.0</v>
      </c>
    </row>
    <row r="17">
      <c r="A17" s="76" t="s">
        <v>262</v>
      </c>
      <c r="B17" s="76">
        <v>4.0</v>
      </c>
      <c r="C17" s="76">
        <v>1.0</v>
      </c>
      <c r="D17" s="76">
        <v>2.0</v>
      </c>
      <c r="E17" s="76" t="s">
        <v>266</v>
      </c>
      <c r="F17" s="76">
        <v>4.0</v>
      </c>
      <c r="G17" s="76" t="s">
        <v>267</v>
      </c>
      <c r="H17" s="76" t="s">
        <v>284</v>
      </c>
      <c r="I17" s="76" t="s">
        <v>280</v>
      </c>
      <c r="J17" s="76">
        <v>1.0</v>
      </c>
      <c r="K17" s="76">
        <v>2.0</v>
      </c>
      <c r="L17" s="76">
        <v>3.0</v>
      </c>
      <c r="M17" s="76">
        <v>5.0</v>
      </c>
      <c r="N17" s="76">
        <v>4.0</v>
      </c>
      <c r="O17" s="76" t="s">
        <v>267</v>
      </c>
      <c r="P17" s="76">
        <v>2.0</v>
      </c>
      <c r="Q17" s="76">
        <v>0.0</v>
      </c>
      <c r="R17" s="76">
        <v>3.0</v>
      </c>
      <c r="S17" s="76" t="s">
        <v>434</v>
      </c>
      <c r="T17" s="76">
        <v>7.0</v>
      </c>
      <c r="U17" s="76" t="s">
        <v>267</v>
      </c>
      <c r="V17" s="76" t="s">
        <v>355</v>
      </c>
      <c r="W17" s="76">
        <v>4.0</v>
      </c>
    </row>
    <row r="18">
      <c r="A18" s="76" t="s">
        <v>262</v>
      </c>
      <c r="B18" s="76">
        <v>3.0</v>
      </c>
      <c r="C18" s="76">
        <v>1.0</v>
      </c>
      <c r="D18" s="76">
        <v>2.0</v>
      </c>
      <c r="E18" s="76" t="s">
        <v>267</v>
      </c>
      <c r="F18" s="76">
        <v>5.0</v>
      </c>
      <c r="G18" s="76" t="s">
        <v>267</v>
      </c>
      <c r="H18" s="76" t="s">
        <v>283</v>
      </c>
      <c r="I18" s="76" t="s">
        <v>267</v>
      </c>
      <c r="J18" s="76">
        <v>2.0</v>
      </c>
      <c r="K18" s="76">
        <v>4.0</v>
      </c>
      <c r="L18" s="76">
        <v>4.0</v>
      </c>
      <c r="M18" s="76">
        <v>2.0</v>
      </c>
      <c r="N18" s="76">
        <v>4.0</v>
      </c>
      <c r="O18" s="76" t="s">
        <v>267</v>
      </c>
      <c r="P18" s="76">
        <v>3.0</v>
      </c>
      <c r="Q18" s="76">
        <v>5.0</v>
      </c>
      <c r="R18" s="76">
        <v>4.0</v>
      </c>
      <c r="S18" s="76" t="s">
        <v>435</v>
      </c>
      <c r="T18" s="76">
        <v>6.0</v>
      </c>
      <c r="U18" s="76" t="s">
        <v>267</v>
      </c>
      <c r="W18" s="76">
        <v>5.0</v>
      </c>
    </row>
    <row r="19">
      <c r="A19" s="76" t="s">
        <v>262</v>
      </c>
      <c r="B19" s="76">
        <v>3.0</v>
      </c>
      <c r="C19" s="76">
        <v>1.0</v>
      </c>
      <c r="D19" s="76">
        <v>3.0</v>
      </c>
      <c r="E19" s="76" t="s">
        <v>266</v>
      </c>
      <c r="F19" s="76">
        <v>4.0</v>
      </c>
      <c r="G19" s="76" t="s">
        <v>280</v>
      </c>
      <c r="H19" s="76" t="s">
        <v>284</v>
      </c>
      <c r="I19" s="76" t="s">
        <v>280</v>
      </c>
      <c r="J19" s="76">
        <v>1.0</v>
      </c>
      <c r="K19" s="76">
        <v>2.0</v>
      </c>
      <c r="L19" s="76">
        <v>2.0</v>
      </c>
      <c r="M19" s="76">
        <v>2.0</v>
      </c>
      <c r="N19" s="76">
        <v>1.0</v>
      </c>
      <c r="O19" s="76" t="s">
        <v>267</v>
      </c>
      <c r="P19" s="76">
        <v>0.0</v>
      </c>
      <c r="Q19" s="76">
        <v>0.0</v>
      </c>
      <c r="R19" s="76">
        <v>2.0</v>
      </c>
      <c r="S19" s="76" t="s">
        <v>436</v>
      </c>
      <c r="T19" s="76">
        <v>5.0</v>
      </c>
      <c r="U19" s="76" t="s">
        <v>266</v>
      </c>
      <c r="W19" s="76">
        <v>4.0</v>
      </c>
    </row>
    <row r="20">
      <c r="A20" s="76" t="s">
        <v>262</v>
      </c>
      <c r="B20" s="76">
        <v>4.0</v>
      </c>
      <c r="C20" s="76">
        <v>1.0</v>
      </c>
      <c r="D20" s="76">
        <v>2.0</v>
      </c>
      <c r="E20" s="76" t="s">
        <v>266</v>
      </c>
      <c r="F20" s="76">
        <v>3.0</v>
      </c>
      <c r="G20" s="76" t="s">
        <v>267</v>
      </c>
      <c r="H20" s="76" t="s">
        <v>284</v>
      </c>
      <c r="I20" s="76" t="s">
        <v>280</v>
      </c>
      <c r="J20" s="76">
        <v>3.0</v>
      </c>
      <c r="K20" s="76">
        <v>2.0</v>
      </c>
      <c r="L20" s="76">
        <v>4.0</v>
      </c>
      <c r="M20" s="76">
        <v>4.0</v>
      </c>
      <c r="N20" s="76">
        <v>3.0</v>
      </c>
      <c r="O20" s="76" t="s">
        <v>267</v>
      </c>
      <c r="P20" s="76">
        <v>1.0</v>
      </c>
      <c r="Q20" s="76">
        <v>0.0</v>
      </c>
      <c r="R20" s="76">
        <v>3.0</v>
      </c>
      <c r="S20" s="76" t="s">
        <v>437</v>
      </c>
      <c r="T20" s="76">
        <v>7.0</v>
      </c>
      <c r="U20" s="76" t="s">
        <v>266</v>
      </c>
      <c r="W20" s="76">
        <v>3.0</v>
      </c>
    </row>
    <row r="21">
      <c r="A21" s="76" t="s">
        <v>262</v>
      </c>
      <c r="B21" s="76">
        <v>3.0</v>
      </c>
      <c r="C21" s="76">
        <v>2.0</v>
      </c>
      <c r="D21" s="76">
        <v>4.0</v>
      </c>
      <c r="E21" s="76" t="s">
        <v>267</v>
      </c>
      <c r="F21" s="76">
        <v>5.0</v>
      </c>
      <c r="G21" s="76" t="s">
        <v>280</v>
      </c>
      <c r="H21" s="76" t="s">
        <v>284</v>
      </c>
      <c r="I21" s="76" t="s">
        <v>280</v>
      </c>
      <c r="J21" s="76">
        <v>1.0</v>
      </c>
      <c r="K21" s="76">
        <v>3.0</v>
      </c>
      <c r="L21" s="76">
        <v>4.0</v>
      </c>
      <c r="M21" s="76">
        <v>5.0</v>
      </c>
      <c r="N21" s="76">
        <v>5.0</v>
      </c>
      <c r="O21" s="76" t="s">
        <v>267</v>
      </c>
      <c r="P21" s="76">
        <v>0.0</v>
      </c>
      <c r="Q21" s="76">
        <v>5.0</v>
      </c>
      <c r="R21" s="76">
        <v>1.0</v>
      </c>
      <c r="S21" s="76" t="s">
        <v>438</v>
      </c>
      <c r="T21" s="76">
        <v>7.0</v>
      </c>
      <c r="U21" s="76" t="s">
        <v>266</v>
      </c>
      <c r="V21" s="76" t="s">
        <v>356</v>
      </c>
      <c r="W21" s="76">
        <v>5.0</v>
      </c>
    </row>
    <row r="22">
      <c r="A22" s="76" t="s">
        <v>262</v>
      </c>
      <c r="B22" s="76">
        <v>3.0</v>
      </c>
      <c r="C22" s="76">
        <v>2.0</v>
      </c>
      <c r="D22" s="76">
        <v>3.0</v>
      </c>
      <c r="E22" s="76" t="s">
        <v>267</v>
      </c>
      <c r="F22" s="76">
        <v>4.0</v>
      </c>
      <c r="G22" s="76" t="s">
        <v>266</v>
      </c>
      <c r="H22" s="76" t="s">
        <v>283</v>
      </c>
      <c r="I22" s="76" t="s">
        <v>267</v>
      </c>
      <c r="J22" s="76">
        <v>1.0</v>
      </c>
      <c r="K22" s="76">
        <v>2.0</v>
      </c>
      <c r="L22" s="76">
        <v>4.0</v>
      </c>
      <c r="M22" s="76">
        <v>4.0</v>
      </c>
      <c r="N22" s="76">
        <v>4.0</v>
      </c>
      <c r="O22" s="76" t="s">
        <v>266</v>
      </c>
      <c r="P22" s="76">
        <v>0.0</v>
      </c>
      <c r="Q22" s="76">
        <v>5.0</v>
      </c>
      <c r="R22" s="76">
        <v>5.0</v>
      </c>
      <c r="S22" s="76" t="s">
        <v>439</v>
      </c>
      <c r="T22" s="76">
        <v>6.0</v>
      </c>
      <c r="U22" s="76" t="s">
        <v>266</v>
      </c>
      <c r="V22" s="76" t="s">
        <v>357</v>
      </c>
      <c r="W22" s="76">
        <v>3.0</v>
      </c>
    </row>
    <row r="23">
      <c r="A23" s="76" t="s">
        <v>257</v>
      </c>
      <c r="B23" s="76">
        <v>3.0</v>
      </c>
      <c r="C23" s="76">
        <v>2.0</v>
      </c>
      <c r="D23" s="76">
        <v>3.0</v>
      </c>
      <c r="E23" s="76" t="s">
        <v>267</v>
      </c>
      <c r="F23" s="76">
        <v>4.0</v>
      </c>
      <c r="G23" s="76" t="s">
        <v>267</v>
      </c>
      <c r="H23" s="76" t="s">
        <v>62</v>
      </c>
      <c r="I23" s="76" t="s">
        <v>267</v>
      </c>
      <c r="J23" s="76">
        <v>3.0</v>
      </c>
      <c r="K23" s="76">
        <v>4.0</v>
      </c>
      <c r="L23" s="76">
        <v>5.0</v>
      </c>
      <c r="M23" s="76">
        <v>4.0</v>
      </c>
      <c r="N23" s="76">
        <v>3.0</v>
      </c>
      <c r="O23" s="76" t="s">
        <v>267</v>
      </c>
      <c r="P23" s="76">
        <v>1.0</v>
      </c>
      <c r="Q23" s="76">
        <v>0.0</v>
      </c>
      <c r="R23" s="76">
        <v>4.0</v>
      </c>
      <c r="S23" s="76" t="s">
        <v>441</v>
      </c>
      <c r="T23" s="76">
        <v>7.0</v>
      </c>
      <c r="U23" s="76" t="s">
        <v>267</v>
      </c>
      <c r="W23" s="76">
        <v>4.0</v>
      </c>
    </row>
    <row r="24">
      <c r="A24" s="76" t="s">
        <v>262</v>
      </c>
      <c r="B24" s="76">
        <v>3.0</v>
      </c>
      <c r="C24" s="76">
        <v>2.0</v>
      </c>
      <c r="D24" s="76">
        <v>3.0</v>
      </c>
      <c r="E24" s="76" t="s">
        <v>267</v>
      </c>
      <c r="F24" s="76">
        <v>4.0</v>
      </c>
      <c r="G24" s="76" t="s">
        <v>267</v>
      </c>
      <c r="H24" s="76" t="s">
        <v>284</v>
      </c>
      <c r="I24" s="76" t="s">
        <v>280</v>
      </c>
      <c r="J24" s="76">
        <v>1.0</v>
      </c>
      <c r="K24" s="76">
        <v>4.0</v>
      </c>
      <c r="L24" s="76">
        <v>2.0</v>
      </c>
      <c r="M24" s="76">
        <v>3.0</v>
      </c>
      <c r="N24" s="76">
        <v>3.0</v>
      </c>
      <c r="O24" s="76" t="s">
        <v>267</v>
      </c>
      <c r="P24" s="76">
        <v>1.0</v>
      </c>
      <c r="Q24" s="76">
        <v>0.0</v>
      </c>
      <c r="R24" s="76">
        <v>3.0</v>
      </c>
      <c r="S24" s="76" t="s">
        <v>441</v>
      </c>
      <c r="T24" s="76">
        <v>5.0</v>
      </c>
      <c r="U24" s="76" t="s">
        <v>267</v>
      </c>
      <c r="W24" s="76">
        <v>4.0</v>
      </c>
    </row>
    <row r="25">
      <c r="A25" s="76" t="s">
        <v>259</v>
      </c>
      <c r="B25" s="76">
        <v>3.0</v>
      </c>
      <c r="C25" s="76">
        <v>1.0</v>
      </c>
      <c r="D25" s="76">
        <v>1.0</v>
      </c>
      <c r="E25" s="76" t="s">
        <v>266</v>
      </c>
      <c r="F25" s="76">
        <v>3.0</v>
      </c>
      <c r="G25" s="76" t="s">
        <v>280</v>
      </c>
      <c r="H25" s="76" t="s">
        <v>284</v>
      </c>
      <c r="I25" s="76" t="s">
        <v>280</v>
      </c>
      <c r="J25" s="76">
        <v>3.0</v>
      </c>
      <c r="K25" s="76">
        <v>2.0</v>
      </c>
      <c r="L25" s="76">
        <v>3.0</v>
      </c>
      <c r="M25" s="76">
        <v>2.0</v>
      </c>
      <c r="N25" s="76">
        <v>3.0</v>
      </c>
      <c r="O25" s="76" t="s">
        <v>267</v>
      </c>
      <c r="P25" s="76">
        <v>1.0</v>
      </c>
      <c r="Q25" s="76">
        <v>0.0</v>
      </c>
      <c r="R25" s="76">
        <v>3.0</v>
      </c>
      <c r="S25" s="76" t="s">
        <v>378</v>
      </c>
      <c r="T25" s="76">
        <v>6.0</v>
      </c>
      <c r="U25" s="76" t="s">
        <v>267</v>
      </c>
      <c r="V25" s="76" t="s">
        <v>443</v>
      </c>
      <c r="W25" s="76">
        <v>3.0</v>
      </c>
    </row>
    <row r="26">
      <c r="A26" s="76" t="s">
        <v>259</v>
      </c>
      <c r="B26" s="76">
        <v>4.0</v>
      </c>
      <c r="C26" s="76">
        <v>2.0</v>
      </c>
      <c r="D26" s="76">
        <v>2.0</v>
      </c>
      <c r="E26" s="76" t="s">
        <v>267</v>
      </c>
      <c r="F26" s="76">
        <v>4.0</v>
      </c>
      <c r="G26" s="76" t="s">
        <v>267</v>
      </c>
      <c r="H26" s="76" t="s">
        <v>284</v>
      </c>
      <c r="I26" s="76" t="s">
        <v>267</v>
      </c>
      <c r="J26" s="76">
        <v>3.0</v>
      </c>
      <c r="K26" s="76">
        <v>2.0</v>
      </c>
      <c r="L26" s="76">
        <v>3.0</v>
      </c>
      <c r="M26" s="76">
        <v>5.0</v>
      </c>
      <c r="N26" s="76">
        <v>5.0</v>
      </c>
      <c r="O26" s="76" t="s">
        <v>267</v>
      </c>
      <c r="P26" s="76">
        <v>1.0</v>
      </c>
      <c r="Q26" s="76">
        <v>0.0</v>
      </c>
      <c r="R26" s="76">
        <v>1.0</v>
      </c>
      <c r="S26" s="76" t="s">
        <v>433</v>
      </c>
      <c r="T26" s="76">
        <v>7.0</v>
      </c>
      <c r="U26" s="76" t="s">
        <v>267</v>
      </c>
      <c r="V26" s="76" t="s">
        <v>332</v>
      </c>
      <c r="W26" s="76">
        <v>4.0</v>
      </c>
    </row>
    <row r="27">
      <c r="A27" s="76" t="s">
        <v>259</v>
      </c>
      <c r="B27" s="76">
        <v>3.0</v>
      </c>
      <c r="C27" s="76">
        <v>2.0</v>
      </c>
      <c r="D27" s="76">
        <v>4.0</v>
      </c>
      <c r="E27" s="76" t="s">
        <v>266</v>
      </c>
      <c r="F27" s="76">
        <v>3.0</v>
      </c>
      <c r="G27" s="76" t="s">
        <v>280</v>
      </c>
      <c r="H27" s="76" t="s">
        <v>284</v>
      </c>
      <c r="I27" s="76" t="s">
        <v>280</v>
      </c>
      <c r="J27" s="76">
        <v>1.0</v>
      </c>
      <c r="K27" s="76">
        <v>1.0</v>
      </c>
      <c r="L27" s="76">
        <v>4.0</v>
      </c>
      <c r="M27" s="76">
        <v>1.0</v>
      </c>
      <c r="N27" s="76">
        <v>3.0</v>
      </c>
      <c r="P27" s="76">
        <v>1.0</v>
      </c>
      <c r="Q27" s="76">
        <v>0.0</v>
      </c>
      <c r="R27" s="76">
        <v>2.0</v>
      </c>
      <c r="S27" s="76" t="s">
        <v>398</v>
      </c>
      <c r="T27" s="76">
        <v>7.0</v>
      </c>
      <c r="U27" s="76" t="s">
        <v>267</v>
      </c>
      <c r="V27" s="76" t="s">
        <v>333</v>
      </c>
      <c r="W27" s="76">
        <v>3.0</v>
      </c>
    </row>
    <row r="28">
      <c r="A28" s="76" t="s">
        <v>259</v>
      </c>
      <c r="B28" s="76">
        <v>3.0</v>
      </c>
      <c r="C28" s="76">
        <v>3.0</v>
      </c>
      <c r="D28" s="76">
        <v>4.0</v>
      </c>
      <c r="E28" s="76" t="s">
        <v>267</v>
      </c>
      <c r="F28" s="76">
        <v>4.0</v>
      </c>
      <c r="G28" s="76" t="s">
        <v>266</v>
      </c>
      <c r="H28" s="76" t="s">
        <v>284</v>
      </c>
      <c r="I28" s="76" t="s">
        <v>267</v>
      </c>
      <c r="J28" s="76">
        <v>1.0</v>
      </c>
      <c r="K28" s="76">
        <v>1.0</v>
      </c>
      <c r="L28" s="76">
        <v>2.0</v>
      </c>
      <c r="M28" s="76">
        <v>5.0</v>
      </c>
      <c r="N28" s="76">
        <v>3.0</v>
      </c>
      <c r="O28" s="76" t="s">
        <v>267</v>
      </c>
      <c r="P28" s="76">
        <v>0.0</v>
      </c>
      <c r="Q28" s="76">
        <v>5.0</v>
      </c>
      <c r="R28" s="76">
        <v>4.0</v>
      </c>
      <c r="S28" s="76" t="s">
        <v>398</v>
      </c>
      <c r="T28" s="76">
        <v>7.0</v>
      </c>
      <c r="U28" s="76" t="s">
        <v>266</v>
      </c>
      <c r="V28" s="76" t="s">
        <v>334</v>
      </c>
      <c r="W28" s="76">
        <v>4.0</v>
      </c>
    </row>
    <row r="29">
      <c r="A29" s="76" t="s">
        <v>259</v>
      </c>
      <c r="B29" s="76">
        <v>3.0</v>
      </c>
      <c r="C29" s="76">
        <v>2.0</v>
      </c>
      <c r="D29" s="76">
        <v>4.0</v>
      </c>
      <c r="E29" s="76" t="s">
        <v>266</v>
      </c>
      <c r="F29" s="76">
        <v>4.0</v>
      </c>
      <c r="G29" s="76" t="s">
        <v>280</v>
      </c>
      <c r="H29" s="76" t="s">
        <v>284</v>
      </c>
      <c r="I29" s="76" t="s">
        <v>280</v>
      </c>
      <c r="J29" s="76">
        <v>1.0</v>
      </c>
      <c r="K29" s="76">
        <v>1.0</v>
      </c>
      <c r="L29" s="76">
        <v>2.0</v>
      </c>
      <c r="M29" s="76">
        <v>5.0</v>
      </c>
      <c r="N29" s="76">
        <v>2.0</v>
      </c>
      <c r="O29" s="76" t="s">
        <v>266</v>
      </c>
      <c r="P29" s="76">
        <v>3.0</v>
      </c>
      <c r="Q29" s="76">
        <v>0.0</v>
      </c>
      <c r="R29" s="76">
        <v>1.0</v>
      </c>
      <c r="S29" s="76" t="s">
        <v>398</v>
      </c>
      <c r="T29" s="76">
        <v>3.0</v>
      </c>
      <c r="U29" s="76" t="s">
        <v>266</v>
      </c>
      <c r="V29" s="76" t="s">
        <v>335</v>
      </c>
      <c r="W29" s="76">
        <v>4.0</v>
      </c>
    </row>
    <row r="30">
      <c r="A30" s="76" t="s">
        <v>259</v>
      </c>
      <c r="B30" s="76">
        <v>3.0</v>
      </c>
      <c r="C30" s="76">
        <v>1.0</v>
      </c>
      <c r="D30" s="76">
        <v>4.0</v>
      </c>
      <c r="E30" s="76" t="s">
        <v>267</v>
      </c>
      <c r="F30" s="76">
        <v>5.0</v>
      </c>
      <c r="G30" s="76" t="s">
        <v>280</v>
      </c>
      <c r="H30" s="76" t="s">
        <v>284</v>
      </c>
      <c r="I30" s="76" t="s">
        <v>280</v>
      </c>
      <c r="J30" s="76">
        <v>3.0</v>
      </c>
      <c r="K30" s="76">
        <v>1.0</v>
      </c>
      <c r="L30" s="76">
        <v>2.0</v>
      </c>
      <c r="M30" s="76">
        <v>5.0</v>
      </c>
      <c r="N30" s="76">
        <v>4.0</v>
      </c>
      <c r="O30" s="76" t="s">
        <v>267</v>
      </c>
      <c r="P30" s="76">
        <v>6.0</v>
      </c>
      <c r="Q30" s="76">
        <v>4.0</v>
      </c>
      <c r="R30" s="76">
        <v>1.0</v>
      </c>
      <c r="S30" s="76" t="s">
        <v>444</v>
      </c>
      <c r="T30" s="76">
        <v>8.0</v>
      </c>
      <c r="U30" s="76" t="s">
        <v>266</v>
      </c>
      <c r="V30" s="76" t="s">
        <v>336</v>
      </c>
      <c r="W30" s="76">
        <v>5.0</v>
      </c>
    </row>
    <row r="31">
      <c r="A31" s="76" t="s">
        <v>259</v>
      </c>
      <c r="B31" s="76">
        <v>4.0</v>
      </c>
      <c r="C31" s="76">
        <v>2.0</v>
      </c>
      <c r="D31" s="76">
        <v>4.0</v>
      </c>
      <c r="E31" s="76" t="s">
        <v>266</v>
      </c>
      <c r="F31" s="76">
        <v>5.0</v>
      </c>
      <c r="G31" s="76" t="s">
        <v>267</v>
      </c>
      <c r="H31" s="76" t="s">
        <v>284</v>
      </c>
      <c r="I31" s="76" t="s">
        <v>280</v>
      </c>
      <c r="J31" s="76">
        <v>4.0</v>
      </c>
      <c r="K31" s="76">
        <v>3.0</v>
      </c>
      <c r="L31" s="76">
        <v>3.0</v>
      </c>
      <c r="M31" s="76">
        <v>5.0</v>
      </c>
      <c r="N31" s="76">
        <v>5.0</v>
      </c>
      <c r="O31" s="76" t="s">
        <v>267</v>
      </c>
      <c r="P31" s="76">
        <v>6.0</v>
      </c>
      <c r="Q31" s="76">
        <v>5.0</v>
      </c>
      <c r="R31" s="76">
        <v>1.0</v>
      </c>
      <c r="S31" s="76" t="s">
        <v>437</v>
      </c>
      <c r="T31" s="76">
        <v>8.0</v>
      </c>
      <c r="U31" s="76" t="s">
        <v>267</v>
      </c>
      <c r="W31" s="76">
        <v>5.0</v>
      </c>
    </row>
    <row r="32">
      <c r="A32" s="76" t="s">
        <v>259</v>
      </c>
      <c r="B32" s="76">
        <v>2.0</v>
      </c>
      <c r="C32" s="76">
        <v>1.0</v>
      </c>
      <c r="D32" s="76">
        <v>4.0</v>
      </c>
      <c r="E32" s="76" t="s">
        <v>267</v>
      </c>
      <c r="F32" s="76">
        <v>5.0</v>
      </c>
      <c r="G32" s="76" t="s">
        <v>267</v>
      </c>
      <c r="H32" s="76" t="s">
        <v>284</v>
      </c>
      <c r="I32" s="76" t="s">
        <v>267</v>
      </c>
      <c r="J32" s="76">
        <v>1.0</v>
      </c>
      <c r="K32" s="76">
        <v>2.0</v>
      </c>
      <c r="L32" s="76">
        <v>1.0</v>
      </c>
      <c r="M32" s="76">
        <v>5.0</v>
      </c>
      <c r="N32" s="76">
        <v>3.0</v>
      </c>
      <c r="O32" s="76" t="s">
        <v>267</v>
      </c>
      <c r="P32" s="76">
        <v>1.0</v>
      </c>
      <c r="Q32" s="76">
        <v>5.0</v>
      </c>
      <c r="R32" s="76">
        <v>1.0</v>
      </c>
      <c r="S32" s="76" t="s">
        <v>398</v>
      </c>
      <c r="T32" s="76">
        <v>3.0</v>
      </c>
      <c r="U32" s="76" t="s">
        <v>266</v>
      </c>
      <c r="W32" s="76">
        <v>3.0</v>
      </c>
    </row>
    <row r="33">
      <c r="A33" s="76" t="s">
        <v>259</v>
      </c>
      <c r="B33" s="76">
        <v>3.0</v>
      </c>
      <c r="C33" s="76">
        <v>2.0</v>
      </c>
      <c r="D33" s="76">
        <v>4.0</v>
      </c>
      <c r="E33" s="76" t="s">
        <v>266</v>
      </c>
      <c r="F33" s="76">
        <v>5.0</v>
      </c>
      <c r="G33" s="76" t="s">
        <v>267</v>
      </c>
      <c r="H33" s="76" t="s">
        <v>284</v>
      </c>
      <c r="I33" s="76" t="s">
        <v>267</v>
      </c>
      <c r="J33" s="76">
        <v>1.0</v>
      </c>
      <c r="K33" s="76">
        <v>2.0</v>
      </c>
      <c r="L33" s="76">
        <v>3.0</v>
      </c>
      <c r="M33" s="76">
        <v>5.0</v>
      </c>
      <c r="N33" s="76">
        <v>4.0</v>
      </c>
      <c r="O33" s="76" t="s">
        <v>266</v>
      </c>
      <c r="P33" s="76">
        <v>1.0</v>
      </c>
      <c r="Q33" s="76">
        <v>0.0</v>
      </c>
      <c r="R33" s="76">
        <v>3.0</v>
      </c>
      <c r="S33" s="76" t="s">
        <v>378</v>
      </c>
      <c r="T33" s="76">
        <v>7.0</v>
      </c>
      <c r="U33" s="76" t="s">
        <v>266</v>
      </c>
      <c r="V33" s="76" t="s">
        <v>337</v>
      </c>
      <c r="W33" s="76">
        <v>5.0</v>
      </c>
    </row>
    <row r="34">
      <c r="A34" s="76" t="s">
        <v>259</v>
      </c>
      <c r="B34" s="76">
        <v>4.0</v>
      </c>
      <c r="C34" s="76">
        <v>2.0</v>
      </c>
      <c r="D34" s="76">
        <v>4.0</v>
      </c>
      <c r="E34" s="76" t="s">
        <v>267</v>
      </c>
      <c r="F34" s="76">
        <v>4.0</v>
      </c>
      <c r="G34" s="76" t="s">
        <v>267</v>
      </c>
      <c r="H34" s="76" t="s">
        <v>284</v>
      </c>
      <c r="I34" s="76" t="s">
        <v>280</v>
      </c>
      <c r="J34" s="76">
        <v>2.0</v>
      </c>
      <c r="K34" s="76">
        <v>4.0</v>
      </c>
      <c r="L34" s="76">
        <v>3.0</v>
      </c>
      <c r="M34" s="76">
        <v>4.0</v>
      </c>
      <c r="N34" s="76">
        <v>3.0</v>
      </c>
      <c r="O34" s="76" t="s">
        <v>267</v>
      </c>
      <c r="P34" s="76">
        <v>1.0</v>
      </c>
      <c r="R34" s="76">
        <v>4.0</v>
      </c>
      <c r="S34" s="76" t="s">
        <v>441</v>
      </c>
      <c r="T34" s="76">
        <v>7.0</v>
      </c>
      <c r="U34" s="76" t="s">
        <v>267</v>
      </c>
      <c r="W34" s="76">
        <v>4.0</v>
      </c>
    </row>
    <row r="35">
      <c r="A35" s="76" t="s">
        <v>261</v>
      </c>
      <c r="B35" s="76">
        <v>4.0</v>
      </c>
      <c r="C35" s="76">
        <v>1.0</v>
      </c>
      <c r="D35" s="76">
        <v>3.0</v>
      </c>
      <c r="E35" s="76" t="s">
        <v>267</v>
      </c>
      <c r="F35" s="76">
        <v>4.0</v>
      </c>
      <c r="G35" s="76" t="s">
        <v>267</v>
      </c>
      <c r="H35" s="76" t="s">
        <v>285</v>
      </c>
      <c r="I35" s="76" t="s">
        <v>267</v>
      </c>
      <c r="J35" s="76">
        <v>5.0</v>
      </c>
      <c r="K35" s="76">
        <v>1.0</v>
      </c>
      <c r="L35" s="76">
        <v>5.0</v>
      </c>
      <c r="M35" s="76">
        <v>3.0</v>
      </c>
      <c r="N35" s="76">
        <v>4.0</v>
      </c>
      <c r="O35" s="76" t="s">
        <v>266</v>
      </c>
      <c r="P35" s="76">
        <v>4.0</v>
      </c>
      <c r="Q35" s="76">
        <v>5.0</v>
      </c>
      <c r="R35" s="76">
        <v>4.0</v>
      </c>
      <c r="S35" s="76" t="s">
        <v>447</v>
      </c>
      <c r="T35" s="76">
        <v>8.0</v>
      </c>
      <c r="U35" s="76" t="s">
        <v>267</v>
      </c>
      <c r="W35" s="76">
        <v>5.0</v>
      </c>
    </row>
    <row r="36">
      <c r="A36" s="76" t="s">
        <v>261</v>
      </c>
      <c r="B36" s="76">
        <v>4.0</v>
      </c>
      <c r="C36" s="76">
        <v>3.0</v>
      </c>
      <c r="D36" s="76">
        <v>4.0</v>
      </c>
      <c r="E36" s="76" t="s">
        <v>267</v>
      </c>
      <c r="F36" s="76">
        <v>5.0</v>
      </c>
      <c r="G36" s="76" t="s">
        <v>267</v>
      </c>
      <c r="H36" s="76" t="s">
        <v>62</v>
      </c>
      <c r="I36" s="76" t="s">
        <v>267</v>
      </c>
      <c r="J36" s="76">
        <v>5.0</v>
      </c>
      <c r="K36" s="76">
        <v>5.0</v>
      </c>
      <c r="L36" s="76">
        <v>5.0</v>
      </c>
      <c r="M36" s="76">
        <v>4.0</v>
      </c>
      <c r="N36" s="76">
        <v>5.0</v>
      </c>
      <c r="O36" s="76" t="s">
        <v>267</v>
      </c>
      <c r="P36" s="76">
        <v>6.0</v>
      </c>
      <c r="Q36" s="76">
        <v>3.0</v>
      </c>
      <c r="R36" s="76">
        <v>4.0</v>
      </c>
      <c r="S36" s="76" t="s">
        <v>448</v>
      </c>
      <c r="T36" s="76">
        <v>10.0</v>
      </c>
      <c r="U36" s="76" t="s">
        <v>267</v>
      </c>
      <c r="W36" s="76">
        <v>5.0</v>
      </c>
    </row>
    <row r="37">
      <c r="A37" s="76" t="s">
        <v>261</v>
      </c>
      <c r="B37" s="76">
        <v>3.0</v>
      </c>
      <c r="C37" s="76">
        <v>2.0</v>
      </c>
      <c r="D37" s="76">
        <v>3.0</v>
      </c>
      <c r="E37" s="76" t="s">
        <v>267</v>
      </c>
      <c r="F37" s="76">
        <v>4.0</v>
      </c>
      <c r="G37" s="76" t="s">
        <v>267</v>
      </c>
      <c r="H37" s="76" t="s">
        <v>62</v>
      </c>
      <c r="I37" s="76" t="s">
        <v>280</v>
      </c>
      <c r="J37" s="76">
        <v>3.0</v>
      </c>
      <c r="K37" s="76">
        <v>2.0</v>
      </c>
      <c r="L37" s="76">
        <v>3.0</v>
      </c>
      <c r="M37" s="76">
        <v>2.0</v>
      </c>
      <c r="N37" s="76">
        <v>3.0</v>
      </c>
      <c r="O37" s="76" t="s">
        <v>267</v>
      </c>
      <c r="P37" s="76">
        <v>2.0</v>
      </c>
      <c r="Q37" s="76">
        <v>5.0</v>
      </c>
      <c r="R37" s="76">
        <v>2.0</v>
      </c>
      <c r="S37" s="76" t="s">
        <v>398</v>
      </c>
      <c r="T37" s="76">
        <v>8.0</v>
      </c>
      <c r="U37" s="76" t="s">
        <v>267</v>
      </c>
      <c r="V37" s="76" t="s">
        <v>345</v>
      </c>
      <c r="W37" s="76">
        <v>4.0</v>
      </c>
    </row>
    <row r="38">
      <c r="A38" s="76" t="s">
        <v>261</v>
      </c>
      <c r="B38" s="76">
        <v>3.0</v>
      </c>
      <c r="C38" s="76">
        <v>2.0</v>
      </c>
      <c r="D38" s="76">
        <v>2.0</v>
      </c>
      <c r="E38" s="76" t="s">
        <v>267</v>
      </c>
      <c r="F38" s="76">
        <v>4.0</v>
      </c>
      <c r="G38" s="76" t="s">
        <v>266</v>
      </c>
      <c r="H38" s="76" t="s">
        <v>62</v>
      </c>
      <c r="I38" s="76" t="s">
        <v>267</v>
      </c>
      <c r="J38" s="76">
        <v>3.0</v>
      </c>
      <c r="K38" s="76">
        <v>2.0</v>
      </c>
      <c r="L38" s="76">
        <v>3.0</v>
      </c>
      <c r="M38" s="76">
        <v>3.0</v>
      </c>
      <c r="N38" s="76">
        <v>3.0</v>
      </c>
      <c r="O38" s="76" t="s">
        <v>267</v>
      </c>
      <c r="P38" s="76">
        <v>1.0</v>
      </c>
      <c r="Q38" s="76">
        <v>0.0</v>
      </c>
      <c r="R38" s="76">
        <v>1.0</v>
      </c>
      <c r="S38" s="76" t="s">
        <v>449</v>
      </c>
      <c r="T38" s="76">
        <v>8.0</v>
      </c>
      <c r="U38" s="76" t="s">
        <v>267</v>
      </c>
      <c r="V38" s="76" t="s">
        <v>346</v>
      </c>
      <c r="W38" s="76">
        <v>4.0</v>
      </c>
    </row>
    <row r="39">
      <c r="A39" s="76" t="s">
        <v>261</v>
      </c>
      <c r="B39" s="76">
        <v>4.0</v>
      </c>
      <c r="C39" s="76">
        <v>3.0</v>
      </c>
      <c r="D39" s="76">
        <v>4.0</v>
      </c>
      <c r="E39" s="76" t="s">
        <v>267</v>
      </c>
      <c r="F39" s="76">
        <v>5.0</v>
      </c>
      <c r="G39" s="76" t="s">
        <v>280</v>
      </c>
      <c r="H39" s="76" t="s">
        <v>285</v>
      </c>
      <c r="I39" s="76" t="s">
        <v>267</v>
      </c>
      <c r="J39" s="76">
        <v>4.0</v>
      </c>
      <c r="K39" s="76">
        <v>2.0</v>
      </c>
      <c r="L39" s="76">
        <v>4.0</v>
      </c>
      <c r="M39" s="76">
        <v>3.0</v>
      </c>
      <c r="N39" s="76">
        <v>5.0</v>
      </c>
      <c r="O39" s="76" t="s">
        <v>267</v>
      </c>
      <c r="P39" s="76">
        <v>3.0</v>
      </c>
      <c r="Q39" s="76">
        <v>5.0</v>
      </c>
      <c r="R39" s="76">
        <v>5.0</v>
      </c>
      <c r="S39" s="76" t="s">
        <v>449</v>
      </c>
      <c r="T39" s="76">
        <v>8.0</v>
      </c>
      <c r="U39" s="76" t="s">
        <v>267</v>
      </c>
      <c r="V39" s="76" t="s">
        <v>347</v>
      </c>
      <c r="W39" s="76">
        <v>3.0</v>
      </c>
    </row>
    <row r="40">
      <c r="A40" s="76" t="s">
        <v>261</v>
      </c>
      <c r="B40" s="76">
        <v>4.0</v>
      </c>
      <c r="C40" s="76">
        <v>2.0</v>
      </c>
      <c r="D40" s="76">
        <v>3.0</v>
      </c>
      <c r="E40" s="76" t="s">
        <v>267</v>
      </c>
      <c r="F40" s="76">
        <v>5.0</v>
      </c>
      <c r="G40" s="76" t="s">
        <v>267</v>
      </c>
      <c r="H40" s="76" t="s">
        <v>62</v>
      </c>
      <c r="I40" s="76" t="s">
        <v>280</v>
      </c>
      <c r="J40" s="76">
        <v>3.0</v>
      </c>
      <c r="K40" s="76">
        <v>4.0</v>
      </c>
      <c r="L40" s="76">
        <v>4.0</v>
      </c>
      <c r="M40" s="76">
        <v>4.0</v>
      </c>
      <c r="N40" s="76">
        <v>4.0</v>
      </c>
      <c r="O40" s="76" t="s">
        <v>267</v>
      </c>
      <c r="P40" s="76">
        <v>3.0</v>
      </c>
      <c r="Q40" s="76">
        <v>4.0</v>
      </c>
      <c r="R40" s="76">
        <v>1.0</v>
      </c>
      <c r="S40" s="76" t="s">
        <v>450</v>
      </c>
      <c r="T40" s="76">
        <v>9.0</v>
      </c>
      <c r="U40" s="76" t="s">
        <v>267</v>
      </c>
      <c r="V40" s="76" t="s">
        <v>348</v>
      </c>
      <c r="W40" s="76">
        <v>5.0</v>
      </c>
    </row>
    <row r="41">
      <c r="A41" s="76" t="s">
        <v>261</v>
      </c>
      <c r="B41" s="76">
        <v>4.0</v>
      </c>
      <c r="C41" s="76">
        <v>2.0</v>
      </c>
      <c r="D41" s="76">
        <v>2.0</v>
      </c>
      <c r="E41" s="76" t="s">
        <v>267</v>
      </c>
      <c r="F41" s="76">
        <v>4.0</v>
      </c>
      <c r="G41" s="76" t="s">
        <v>267</v>
      </c>
      <c r="H41" s="76" t="s">
        <v>62</v>
      </c>
      <c r="I41" s="76" t="s">
        <v>267</v>
      </c>
      <c r="J41" s="76">
        <v>4.0</v>
      </c>
      <c r="K41" s="76">
        <v>2.0</v>
      </c>
      <c r="L41" s="76">
        <v>4.0</v>
      </c>
      <c r="M41" s="76">
        <v>3.0</v>
      </c>
      <c r="N41" s="76">
        <v>4.0</v>
      </c>
      <c r="O41" s="76" t="s">
        <v>267</v>
      </c>
      <c r="P41" s="76">
        <v>5.0</v>
      </c>
      <c r="Q41" s="76">
        <v>4.0</v>
      </c>
      <c r="R41" s="76">
        <v>4.0</v>
      </c>
      <c r="S41" s="76" t="s">
        <v>398</v>
      </c>
      <c r="T41" s="76">
        <v>9.0</v>
      </c>
      <c r="U41" s="76" t="s">
        <v>267</v>
      </c>
      <c r="V41" s="76" t="s">
        <v>349</v>
      </c>
      <c r="W41" s="76">
        <v>4.0</v>
      </c>
    </row>
    <row r="42">
      <c r="A42" s="76" t="s">
        <v>261</v>
      </c>
      <c r="B42" s="76">
        <v>3.0</v>
      </c>
      <c r="C42" s="76">
        <v>2.0</v>
      </c>
      <c r="D42" s="76">
        <v>3.0</v>
      </c>
      <c r="E42" s="76" t="s">
        <v>267</v>
      </c>
      <c r="F42" s="76">
        <v>3.0</v>
      </c>
      <c r="G42" s="76" t="s">
        <v>267</v>
      </c>
      <c r="H42" s="76" t="s">
        <v>285</v>
      </c>
      <c r="I42" s="76" t="s">
        <v>267</v>
      </c>
      <c r="J42" s="76">
        <v>4.0</v>
      </c>
      <c r="K42" s="76">
        <v>3.0</v>
      </c>
      <c r="L42" s="76">
        <v>3.0</v>
      </c>
      <c r="M42" s="76">
        <v>3.0</v>
      </c>
      <c r="N42" s="76">
        <v>4.0</v>
      </c>
      <c r="O42" s="76" t="s">
        <v>267</v>
      </c>
      <c r="P42" s="76">
        <v>3.0</v>
      </c>
      <c r="R42" s="76">
        <v>4.0</v>
      </c>
      <c r="S42" s="76" t="s">
        <v>441</v>
      </c>
      <c r="T42" s="76">
        <v>8.0</v>
      </c>
      <c r="U42" s="76" t="s">
        <v>267</v>
      </c>
      <c r="W42" s="76">
        <v>4.0</v>
      </c>
    </row>
    <row r="43">
      <c r="A43" s="76" t="s">
        <v>258</v>
      </c>
      <c r="B43" s="76">
        <v>4.0</v>
      </c>
      <c r="C43" s="76">
        <v>2.0</v>
      </c>
      <c r="D43" s="76">
        <v>4.0</v>
      </c>
      <c r="E43" s="76" t="s">
        <v>267</v>
      </c>
      <c r="F43" s="76">
        <v>4.0</v>
      </c>
      <c r="G43" s="76" t="s">
        <v>267</v>
      </c>
      <c r="I43" s="76" t="s">
        <v>267</v>
      </c>
      <c r="J43" s="76">
        <v>4.0</v>
      </c>
      <c r="K43" s="76">
        <v>3.0</v>
      </c>
      <c r="L43" s="76">
        <v>5.0</v>
      </c>
      <c r="M43" s="76">
        <v>5.0</v>
      </c>
      <c r="N43" s="76">
        <v>4.0</v>
      </c>
      <c r="O43" s="76" t="s">
        <v>267</v>
      </c>
      <c r="P43" s="76">
        <v>0.0</v>
      </c>
      <c r="Q43" s="76">
        <v>0.0</v>
      </c>
      <c r="R43" s="76">
        <v>3.0</v>
      </c>
      <c r="S43" s="76" t="s">
        <v>453</v>
      </c>
      <c r="T43" s="76">
        <v>8.0</v>
      </c>
      <c r="U43" s="76" t="s">
        <v>267</v>
      </c>
      <c r="V43" s="76" t="s">
        <v>323</v>
      </c>
      <c r="W43" s="76">
        <v>4.0</v>
      </c>
    </row>
    <row r="44">
      <c r="A44" s="76" t="s">
        <v>258</v>
      </c>
      <c r="B44" s="76">
        <v>4.0</v>
      </c>
      <c r="C44" s="76">
        <v>3.0</v>
      </c>
      <c r="D44" s="76">
        <v>4.0</v>
      </c>
      <c r="E44" s="76" t="s">
        <v>267</v>
      </c>
      <c r="F44" s="76">
        <v>5.0</v>
      </c>
      <c r="G44" s="76" t="s">
        <v>267</v>
      </c>
      <c r="H44" s="76" t="s">
        <v>285</v>
      </c>
      <c r="I44" s="76" t="s">
        <v>267</v>
      </c>
      <c r="J44" s="76">
        <v>5.0</v>
      </c>
      <c r="K44" s="76">
        <v>5.0</v>
      </c>
      <c r="L44" s="76">
        <v>5.0</v>
      </c>
      <c r="M44" s="76">
        <v>5.0</v>
      </c>
      <c r="N44" s="76">
        <v>5.0</v>
      </c>
      <c r="O44" s="76" t="s">
        <v>267</v>
      </c>
      <c r="P44" s="76">
        <v>0.0</v>
      </c>
      <c r="Q44" s="76">
        <v>0.0</v>
      </c>
      <c r="R44" s="76">
        <v>1.0</v>
      </c>
      <c r="S44" s="76" t="s">
        <v>454</v>
      </c>
      <c r="T44" s="76">
        <v>10.0</v>
      </c>
      <c r="U44" s="76" t="s">
        <v>267</v>
      </c>
      <c r="V44" s="76" t="s">
        <v>324</v>
      </c>
      <c r="W44" s="76">
        <v>5.0</v>
      </c>
    </row>
    <row r="45">
      <c r="A45" s="76" t="s">
        <v>258</v>
      </c>
      <c r="B45" s="76">
        <v>3.0</v>
      </c>
      <c r="C45" s="76">
        <v>2.0</v>
      </c>
      <c r="D45" s="76">
        <v>4.0</v>
      </c>
      <c r="E45" s="76" t="s">
        <v>267</v>
      </c>
      <c r="F45" s="76">
        <v>5.0</v>
      </c>
      <c r="H45" s="76" t="s">
        <v>62</v>
      </c>
      <c r="K45" s="76">
        <v>2.0</v>
      </c>
      <c r="L45" s="76">
        <v>5.0</v>
      </c>
      <c r="N45" s="76">
        <v>4.0</v>
      </c>
      <c r="Q45" s="76">
        <v>3.0</v>
      </c>
      <c r="R45" s="76">
        <v>2.0</v>
      </c>
      <c r="S45" s="76" t="s">
        <v>455</v>
      </c>
      <c r="T45" s="76">
        <v>7.0</v>
      </c>
      <c r="V45" s="76" t="s">
        <v>325</v>
      </c>
      <c r="W45" s="76">
        <v>4.0</v>
      </c>
    </row>
    <row r="46">
      <c r="A46" s="76" t="s">
        <v>258</v>
      </c>
      <c r="B46" s="76">
        <v>4.0</v>
      </c>
      <c r="C46" s="76">
        <v>2.0</v>
      </c>
      <c r="D46" s="76">
        <v>3.0</v>
      </c>
      <c r="E46" s="76" t="s">
        <v>267</v>
      </c>
      <c r="F46" s="76">
        <v>5.0</v>
      </c>
      <c r="G46" s="76" t="s">
        <v>280</v>
      </c>
      <c r="H46" s="76" t="s">
        <v>62</v>
      </c>
      <c r="I46" s="76" t="s">
        <v>267</v>
      </c>
      <c r="J46" s="76">
        <v>4.0</v>
      </c>
      <c r="K46" s="76">
        <v>3.0</v>
      </c>
      <c r="L46" s="76">
        <v>4.0</v>
      </c>
      <c r="M46" s="76">
        <v>5.0</v>
      </c>
      <c r="N46" s="76">
        <v>5.0</v>
      </c>
      <c r="O46" s="76" t="s">
        <v>267</v>
      </c>
      <c r="P46" s="76">
        <v>5.0</v>
      </c>
      <c r="Q46" s="76">
        <v>5.0</v>
      </c>
      <c r="R46" s="76">
        <v>4.0</v>
      </c>
      <c r="S46" s="76" t="s">
        <v>456</v>
      </c>
      <c r="T46" s="76">
        <v>9.0</v>
      </c>
      <c r="U46" s="76" t="s">
        <v>267</v>
      </c>
      <c r="V46" s="76" t="s">
        <v>326</v>
      </c>
      <c r="W46" s="76">
        <v>5.0</v>
      </c>
    </row>
    <row r="47">
      <c r="A47" s="76" t="s">
        <v>261</v>
      </c>
      <c r="B47" s="76">
        <v>4.0</v>
      </c>
      <c r="C47" s="76">
        <v>2.0</v>
      </c>
      <c r="D47" s="76">
        <v>4.0</v>
      </c>
      <c r="E47" s="76" t="s">
        <v>267</v>
      </c>
      <c r="F47" s="76">
        <v>4.0</v>
      </c>
      <c r="G47" s="76" t="s">
        <v>267</v>
      </c>
      <c r="H47" s="76" t="s">
        <v>285</v>
      </c>
      <c r="I47" s="76" t="s">
        <v>280</v>
      </c>
      <c r="J47" s="76">
        <v>3.0</v>
      </c>
      <c r="K47" s="76">
        <v>2.0</v>
      </c>
      <c r="L47" s="76">
        <v>4.0</v>
      </c>
      <c r="M47" s="76">
        <v>3.0</v>
      </c>
      <c r="N47" s="76">
        <v>3.0</v>
      </c>
      <c r="O47" s="76" t="s">
        <v>267</v>
      </c>
      <c r="P47" s="76">
        <v>0.0</v>
      </c>
      <c r="Q47" s="76">
        <v>0.0</v>
      </c>
      <c r="R47" s="76">
        <v>1.0</v>
      </c>
      <c r="S47" s="76" t="s">
        <v>437</v>
      </c>
      <c r="T47" s="76">
        <v>8.0</v>
      </c>
      <c r="U47" s="76" t="s">
        <v>267</v>
      </c>
      <c r="W47" s="76">
        <v>4.0</v>
      </c>
    </row>
    <row r="48">
      <c r="A48" s="76" t="s">
        <v>258</v>
      </c>
      <c r="B48" s="76">
        <v>4.0</v>
      </c>
      <c r="C48" s="76">
        <v>2.0</v>
      </c>
      <c r="D48" s="76">
        <v>3.0</v>
      </c>
      <c r="E48" s="76" t="s">
        <v>267</v>
      </c>
      <c r="F48" s="76">
        <v>5.0</v>
      </c>
      <c r="G48" s="76" t="s">
        <v>267</v>
      </c>
      <c r="H48" s="76" t="s">
        <v>62</v>
      </c>
      <c r="I48" s="76" t="s">
        <v>280</v>
      </c>
      <c r="J48" s="76">
        <v>4.0</v>
      </c>
      <c r="K48" s="76">
        <v>4.0</v>
      </c>
      <c r="L48" s="76">
        <v>5.0</v>
      </c>
      <c r="M48" s="76">
        <v>5.0</v>
      </c>
      <c r="N48" s="76">
        <v>5.0</v>
      </c>
      <c r="O48" s="76" t="s">
        <v>267</v>
      </c>
      <c r="P48" s="76">
        <v>0.0</v>
      </c>
      <c r="Q48" s="76">
        <v>5.0</v>
      </c>
      <c r="R48" s="76">
        <v>1.0</v>
      </c>
      <c r="S48" s="76" t="s">
        <v>437</v>
      </c>
      <c r="T48" s="76">
        <v>9.0</v>
      </c>
      <c r="U48" s="76" t="s">
        <v>267</v>
      </c>
      <c r="W48" s="76">
        <v>5.0</v>
      </c>
    </row>
    <row r="49">
      <c r="A49" s="76" t="s">
        <v>258</v>
      </c>
      <c r="B49" s="76">
        <v>2.0</v>
      </c>
      <c r="C49" s="76">
        <v>2.0</v>
      </c>
      <c r="D49" s="76">
        <v>2.0</v>
      </c>
      <c r="E49" s="76" t="s">
        <v>267</v>
      </c>
      <c r="F49" s="76">
        <v>4.0</v>
      </c>
      <c r="G49" s="76" t="s">
        <v>267</v>
      </c>
      <c r="H49" s="76" t="s">
        <v>62</v>
      </c>
      <c r="I49" s="76" t="s">
        <v>280</v>
      </c>
      <c r="J49" s="76">
        <v>4.0</v>
      </c>
      <c r="K49" s="76">
        <v>4.0</v>
      </c>
      <c r="L49" s="76">
        <v>4.0</v>
      </c>
      <c r="M49" s="76">
        <v>3.0</v>
      </c>
      <c r="N49" s="76">
        <v>5.0</v>
      </c>
      <c r="O49" s="76" t="s">
        <v>267</v>
      </c>
      <c r="P49" s="76">
        <v>0.0</v>
      </c>
      <c r="Q49" s="76">
        <v>0.0</v>
      </c>
      <c r="R49" s="76">
        <v>1.0</v>
      </c>
      <c r="S49" s="76" t="s">
        <v>457</v>
      </c>
      <c r="T49" s="76">
        <v>8.0</v>
      </c>
      <c r="U49" s="76" t="s">
        <v>267</v>
      </c>
      <c r="V49" s="76" t="s">
        <v>327</v>
      </c>
      <c r="W49" s="76">
        <v>5.0</v>
      </c>
    </row>
    <row r="50">
      <c r="A50" s="76" t="s">
        <v>258</v>
      </c>
      <c r="B50" s="76">
        <v>3.0</v>
      </c>
      <c r="C50" s="76">
        <v>2.0</v>
      </c>
      <c r="D50" s="76">
        <v>3.0</v>
      </c>
      <c r="E50" s="76" t="s">
        <v>267</v>
      </c>
      <c r="F50" s="76">
        <v>5.0</v>
      </c>
      <c r="G50" s="76" t="s">
        <v>267</v>
      </c>
      <c r="H50" s="76" t="s">
        <v>285</v>
      </c>
      <c r="I50" s="76" t="s">
        <v>267</v>
      </c>
      <c r="J50" s="76">
        <v>4.0</v>
      </c>
      <c r="K50" s="76">
        <v>4.0</v>
      </c>
      <c r="L50" s="76">
        <v>5.0</v>
      </c>
      <c r="N50" s="76">
        <v>4.0</v>
      </c>
      <c r="O50" s="76" t="s">
        <v>267</v>
      </c>
      <c r="P50" s="76">
        <v>3.0</v>
      </c>
      <c r="R50" s="76">
        <v>4.0</v>
      </c>
      <c r="S50" s="76" t="s">
        <v>441</v>
      </c>
      <c r="T50" s="76">
        <v>9.0</v>
      </c>
      <c r="U50" s="76" t="s">
        <v>267</v>
      </c>
      <c r="W50" s="76">
        <v>5.0</v>
      </c>
    </row>
    <row r="51">
      <c r="A51" s="76" t="s">
        <v>258</v>
      </c>
      <c r="B51" s="76">
        <v>4.0</v>
      </c>
      <c r="C51" s="76">
        <v>1.0</v>
      </c>
      <c r="D51" s="76">
        <v>2.0</v>
      </c>
      <c r="E51" s="76" t="s">
        <v>267</v>
      </c>
      <c r="F51" s="76">
        <v>4.0</v>
      </c>
      <c r="G51" s="76" t="s">
        <v>267</v>
      </c>
      <c r="H51" s="76" t="s">
        <v>283</v>
      </c>
      <c r="I51" s="76" t="s">
        <v>267</v>
      </c>
      <c r="J51" s="76">
        <v>3.0</v>
      </c>
      <c r="K51" s="76">
        <v>2.0</v>
      </c>
      <c r="L51" s="76">
        <v>4.0</v>
      </c>
      <c r="M51" s="76">
        <v>3.0</v>
      </c>
      <c r="N51" s="76">
        <v>3.0</v>
      </c>
      <c r="O51" s="76" t="s">
        <v>267</v>
      </c>
      <c r="P51" s="76">
        <v>1.0</v>
      </c>
      <c r="Q51" s="76">
        <v>0.0</v>
      </c>
      <c r="S51" s="76" t="s">
        <v>433</v>
      </c>
      <c r="T51" s="76">
        <v>6.0</v>
      </c>
      <c r="U51" s="76" t="s">
        <v>267</v>
      </c>
      <c r="V51" s="76" t="s">
        <v>328</v>
      </c>
      <c r="W51" s="76">
        <v>3.0</v>
      </c>
    </row>
    <row r="52">
      <c r="A52" s="76" t="s">
        <v>261</v>
      </c>
      <c r="B52" s="76">
        <v>1.0</v>
      </c>
      <c r="C52" s="76">
        <v>1.0</v>
      </c>
      <c r="D52" s="76">
        <v>1.0</v>
      </c>
      <c r="E52" s="76" t="s">
        <v>267</v>
      </c>
      <c r="F52" s="76">
        <v>3.0</v>
      </c>
      <c r="G52" s="76" t="s">
        <v>280</v>
      </c>
      <c r="H52" s="76" t="s">
        <v>283</v>
      </c>
      <c r="I52" s="76" t="s">
        <v>280</v>
      </c>
      <c r="J52" s="76">
        <v>3.0</v>
      </c>
      <c r="K52" s="76">
        <v>1.0</v>
      </c>
      <c r="L52" s="76">
        <v>3.0</v>
      </c>
      <c r="M52" s="76">
        <v>3.0</v>
      </c>
      <c r="N52" s="76">
        <v>3.0</v>
      </c>
      <c r="O52" s="76" t="s">
        <v>267</v>
      </c>
      <c r="P52" s="76">
        <v>1.0</v>
      </c>
      <c r="Q52" s="76">
        <v>5.0</v>
      </c>
      <c r="R52" s="76">
        <v>1.0</v>
      </c>
      <c r="S52" s="76" t="s">
        <v>450</v>
      </c>
      <c r="T52" s="76">
        <v>5.0</v>
      </c>
      <c r="U52" s="76" t="s">
        <v>267</v>
      </c>
      <c r="W52" s="76">
        <v>3.0</v>
      </c>
    </row>
    <row r="53">
      <c r="A53" s="76" t="s">
        <v>258</v>
      </c>
      <c r="B53" s="76">
        <v>3.0</v>
      </c>
      <c r="C53" s="76">
        <v>2.0</v>
      </c>
      <c r="D53" s="76">
        <v>4.0</v>
      </c>
      <c r="E53" s="76" t="s">
        <v>266</v>
      </c>
      <c r="F53" s="76">
        <v>3.0</v>
      </c>
      <c r="G53" s="76" t="s">
        <v>280</v>
      </c>
      <c r="H53" s="76" t="s">
        <v>283</v>
      </c>
      <c r="I53" s="76" t="s">
        <v>280</v>
      </c>
      <c r="J53" s="76">
        <v>3.0</v>
      </c>
      <c r="K53" s="76">
        <v>2.0</v>
      </c>
      <c r="L53" s="76">
        <v>3.0</v>
      </c>
      <c r="M53" s="76">
        <v>4.0</v>
      </c>
      <c r="N53" s="76">
        <v>3.0</v>
      </c>
      <c r="P53" s="76">
        <v>0.0</v>
      </c>
      <c r="Q53" s="76">
        <v>0.0</v>
      </c>
      <c r="R53" s="76">
        <v>1.0</v>
      </c>
      <c r="S53" s="76" t="s">
        <v>458</v>
      </c>
      <c r="T53" s="76">
        <v>4.0</v>
      </c>
      <c r="U53" s="76" t="s">
        <v>266</v>
      </c>
      <c r="V53" s="76" t="s">
        <v>329</v>
      </c>
      <c r="W53" s="76">
        <v>4.0</v>
      </c>
    </row>
    <row r="54">
      <c r="A54" s="76" t="s">
        <v>260</v>
      </c>
      <c r="B54" s="76">
        <v>2.0</v>
      </c>
      <c r="C54" s="76">
        <v>1.0</v>
      </c>
      <c r="D54" s="76">
        <v>2.0</v>
      </c>
      <c r="E54" s="76" t="s">
        <v>266</v>
      </c>
      <c r="F54" s="76">
        <v>2.0</v>
      </c>
      <c r="G54" s="76" t="s">
        <v>267</v>
      </c>
      <c r="H54" s="76" t="s">
        <v>283</v>
      </c>
      <c r="I54" s="76" t="s">
        <v>280</v>
      </c>
      <c r="J54" s="76">
        <v>4.0</v>
      </c>
      <c r="K54" s="76">
        <v>3.0</v>
      </c>
      <c r="L54" s="76">
        <v>3.0</v>
      </c>
      <c r="M54" s="76">
        <v>4.0</v>
      </c>
      <c r="N54" s="76">
        <v>2.0</v>
      </c>
      <c r="O54" s="76" t="s">
        <v>267</v>
      </c>
      <c r="P54" s="76">
        <v>0.0</v>
      </c>
      <c r="Q54" s="76">
        <v>0.0</v>
      </c>
      <c r="R54" s="76">
        <v>3.0</v>
      </c>
      <c r="S54" s="76" t="s">
        <v>460</v>
      </c>
      <c r="T54" s="76">
        <v>6.0</v>
      </c>
      <c r="U54" s="76" t="s">
        <v>267</v>
      </c>
      <c r="V54" s="76" t="s">
        <v>339</v>
      </c>
      <c r="W54" s="76">
        <v>2.0</v>
      </c>
    </row>
    <row r="55">
      <c r="A55" s="76" t="s">
        <v>260</v>
      </c>
      <c r="B55" s="76">
        <v>3.0</v>
      </c>
      <c r="C55" s="76">
        <v>2.0</v>
      </c>
      <c r="D55" s="76">
        <v>2.0</v>
      </c>
      <c r="E55" s="76" t="s">
        <v>266</v>
      </c>
      <c r="F55" s="76">
        <v>3.0</v>
      </c>
      <c r="G55" s="76" t="s">
        <v>267</v>
      </c>
      <c r="H55" s="76" t="s">
        <v>286</v>
      </c>
      <c r="I55" s="76" t="s">
        <v>280</v>
      </c>
      <c r="J55" s="76">
        <v>2.0</v>
      </c>
      <c r="K55" s="76">
        <v>2.0</v>
      </c>
      <c r="L55" s="76">
        <v>4.0</v>
      </c>
      <c r="M55" s="76">
        <v>4.0</v>
      </c>
      <c r="N55" s="76">
        <v>3.0</v>
      </c>
      <c r="O55" s="76" t="s">
        <v>267</v>
      </c>
      <c r="P55" s="76">
        <v>2.0</v>
      </c>
      <c r="Q55" s="76">
        <v>0.0</v>
      </c>
      <c r="R55" s="76">
        <v>1.0</v>
      </c>
      <c r="S55" s="76" t="s">
        <v>461</v>
      </c>
      <c r="T55" s="76">
        <v>6.0</v>
      </c>
      <c r="U55" s="76" t="s">
        <v>266</v>
      </c>
      <c r="V55" s="76" t="s">
        <v>340</v>
      </c>
      <c r="W55" s="76">
        <v>2.0</v>
      </c>
    </row>
    <row r="56">
      <c r="A56" s="76" t="s">
        <v>260</v>
      </c>
      <c r="B56" s="76">
        <v>1.0</v>
      </c>
      <c r="C56" s="76">
        <v>1.0</v>
      </c>
      <c r="D56" s="76">
        <v>1.0</v>
      </c>
      <c r="E56" s="76" t="s">
        <v>266</v>
      </c>
      <c r="F56" s="76">
        <v>3.0</v>
      </c>
      <c r="G56" s="76" t="s">
        <v>280</v>
      </c>
      <c r="H56" s="76" t="s">
        <v>284</v>
      </c>
      <c r="I56" s="76" t="s">
        <v>280</v>
      </c>
      <c r="J56" s="76">
        <v>1.0</v>
      </c>
      <c r="K56" s="76">
        <v>1.0</v>
      </c>
      <c r="L56" s="76">
        <v>5.0</v>
      </c>
      <c r="M56" s="76">
        <v>4.0</v>
      </c>
      <c r="N56" s="76">
        <v>2.0</v>
      </c>
      <c r="O56" s="76" t="s">
        <v>266</v>
      </c>
      <c r="P56" s="76">
        <v>0.0</v>
      </c>
      <c r="Q56" s="76">
        <v>0.0</v>
      </c>
      <c r="R56" s="76">
        <v>1.0</v>
      </c>
      <c r="S56" s="76" t="s">
        <v>433</v>
      </c>
      <c r="T56" s="76">
        <v>4.0</v>
      </c>
      <c r="U56" s="76" t="s">
        <v>266</v>
      </c>
      <c r="V56" s="76" t="s">
        <v>341</v>
      </c>
      <c r="W56" s="76">
        <v>1.0</v>
      </c>
    </row>
    <row r="57">
      <c r="A57" s="76" t="s">
        <v>260</v>
      </c>
      <c r="B57" s="76">
        <v>4.0</v>
      </c>
      <c r="C57" s="76">
        <v>3.0</v>
      </c>
      <c r="D57" s="76">
        <v>4.0</v>
      </c>
      <c r="E57" s="76" t="s">
        <v>267</v>
      </c>
      <c r="F57" s="76">
        <v>5.0</v>
      </c>
      <c r="G57" s="76" t="s">
        <v>267</v>
      </c>
      <c r="H57" s="76" t="s">
        <v>285</v>
      </c>
      <c r="I57" s="76" t="s">
        <v>267</v>
      </c>
      <c r="J57" s="76">
        <v>4.0</v>
      </c>
      <c r="K57" s="76">
        <v>5.0</v>
      </c>
      <c r="L57" s="76">
        <v>4.0</v>
      </c>
      <c r="M57" s="76">
        <v>4.0</v>
      </c>
      <c r="N57" s="76">
        <v>5.0</v>
      </c>
      <c r="O57" s="76" t="s">
        <v>267</v>
      </c>
      <c r="P57" s="76">
        <v>0.0</v>
      </c>
      <c r="Q57" s="76">
        <v>5.0</v>
      </c>
      <c r="R57" s="76">
        <v>3.0</v>
      </c>
      <c r="S57" s="76" t="s">
        <v>454</v>
      </c>
      <c r="T57" s="76">
        <v>9.0</v>
      </c>
      <c r="U57" s="76" t="s">
        <v>267</v>
      </c>
      <c r="W57" s="76">
        <v>5.0</v>
      </c>
    </row>
    <row r="58">
      <c r="A58" s="76" t="s">
        <v>260</v>
      </c>
      <c r="B58" s="76">
        <v>3.0</v>
      </c>
      <c r="C58" s="76">
        <v>2.0</v>
      </c>
      <c r="D58" s="76">
        <v>4.0</v>
      </c>
      <c r="F58" s="76">
        <v>3.0</v>
      </c>
      <c r="H58" s="76" t="s">
        <v>283</v>
      </c>
      <c r="J58" s="76">
        <v>1.0</v>
      </c>
      <c r="K58" s="76">
        <v>2.0</v>
      </c>
      <c r="L58" s="76">
        <v>3.0</v>
      </c>
      <c r="M58" s="76">
        <v>4.0</v>
      </c>
      <c r="N58" s="76">
        <v>3.0</v>
      </c>
      <c r="Q58" s="76">
        <v>4.0</v>
      </c>
      <c r="R58" s="76">
        <v>2.0</v>
      </c>
      <c r="S58" s="76" t="s">
        <v>398</v>
      </c>
      <c r="T58" s="76">
        <v>6.0</v>
      </c>
      <c r="V58" s="76" t="s">
        <v>342</v>
      </c>
      <c r="W58" s="76">
        <v>3.0</v>
      </c>
    </row>
    <row r="59">
      <c r="A59" s="76" t="s">
        <v>260</v>
      </c>
      <c r="B59" s="76">
        <v>1.0</v>
      </c>
      <c r="C59" s="76">
        <v>1.0</v>
      </c>
      <c r="D59" s="76">
        <v>1.0</v>
      </c>
      <c r="E59" s="76" t="s">
        <v>266</v>
      </c>
      <c r="F59" s="76">
        <v>2.0</v>
      </c>
      <c r="G59" s="76" t="s">
        <v>280</v>
      </c>
      <c r="I59" s="76" t="s">
        <v>280</v>
      </c>
      <c r="J59" s="76">
        <v>3.0</v>
      </c>
      <c r="K59" s="76">
        <v>3.0</v>
      </c>
      <c r="L59" s="76">
        <v>3.0</v>
      </c>
      <c r="M59" s="76">
        <v>3.0</v>
      </c>
      <c r="N59" s="76">
        <v>2.0</v>
      </c>
      <c r="O59" s="76" t="s">
        <v>266</v>
      </c>
      <c r="P59" s="76">
        <v>0.0</v>
      </c>
      <c r="Q59" s="76">
        <v>3.0</v>
      </c>
      <c r="R59" s="76">
        <v>3.0</v>
      </c>
      <c r="S59" s="76" t="s">
        <v>463</v>
      </c>
      <c r="T59" s="76">
        <v>3.0</v>
      </c>
      <c r="U59" s="76" t="s">
        <v>266</v>
      </c>
      <c r="W59" s="76">
        <v>3.0</v>
      </c>
    </row>
    <row r="60">
      <c r="A60" s="76" t="s">
        <v>260</v>
      </c>
      <c r="B60" s="76">
        <v>3.0</v>
      </c>
      <c r="C60" s="76">
        <v>1.0</v>
      </c>
      <c r="D60" s="76">
        <v>1.0</v>
      </c>
      <c r="E60" s="76" t="s">
        <v>267</v>
      </c>
      <c r="F60" s="76">
        <v>3.0</v>
      </c>
      <c r="G60" s="76" t="s">
        <v>267</v>
      </c>
      <c r="H60" s="76" t="s">
        <v>62</v>
      </c>
      <c r="I60" s="76" t="s">
        <v>280</v>
      </c>
      <c r="J60" s="76">
        <v>3.0</v>
      </c>
      <c r="K60" s="76">
        <v>3.0</v>
      </c>
      <c r="L60" s="76">
        <v>4.0</v>
      </c>
      <c r="M60" s="76">
        <v>4.0</v>
      </c>
      <c r="N60" s="76">
        <v>3.0</v>
      </c>
      <c r="O60" s="76" t="s">
        <v>267</v>
      </c>
      <c r="P60" s="76">
        <v>0.0</v>
      </c>
      <c r="Q60" s="76">
        <v>5.0</v>
      </c>
      <c r="R60" s="76">
        <v>1.0</v>
      </c>
      <c r="S60" s="76" t="s">
        <v>437</v>
      </c>
      <c r="T60" s="76">
        <v>7.0</v>
      </c>
      <c r="U60" s="76" t="s">
        <v>266</v>
      </c>
      <c r="W60" s="76">
        <v>4.0</v>
      </c>
    </row>
    <row r="61">
      <c r="A61" s="76" t="s">
        <v>260</v>
      </c>
      <c r="B61" s="76">
        <v>3.0</v>
      </c>
      <c r="C61" s="76">
        <v>2.0</v>
      </c>
      <c r="D61" s="76">
        <v>3.0</v>
      </c>
      <c r="E61" s="76" t="s">
        <v>267</v>
      </c>
      <c r="F61" s="76">
        <v>3.0</v>
      </c>
      <c r="G61" s="76" t="s">
        <v>266</v>
      </c>
      <c r="H61" s="76" t="s">
        <v>62</v>
      </c>
      <c r="I61" s="76" t="s">
        <v>280</v>
      </c>
      <c r="J61" s="76">
        <v>4.0</v>
      </c>
      <c r="K61" s="76">
        <v>3.0</v>
      </c>
      <c r="L61" s="76">
        <v>4.0</v>
      </c>
      <c r="M61" s="76">
        <v>4.0</v>
      </c>
      <c r="N61" s="76">
        <v>4.0</v>
      </c>
      <c r="O61" s="76" t="s">
        <v>267</v>
      </c>
      <c r="P61" s="76">
        <v>4.0</v>
      </c>
      <c r="Q61" s="76">
        <v>5.0</v>
      </c>
      <c r="R61" s="76">
        <v>4.0</v>
      </c>
      <c r="S61" s="76" t="s">
        <v>447</v>
      </c>
      <c r="T61" s="76">
        <v>6.0</v>
      </c>
      <c r="U61" s="76" t="s">
        <v>267</v>
      </c>
      <c r="V61" s="76" t="s">
        <v>343</v>
      </c>
      <c r="W61" s="76">
        <v>3.0</v>
      </c>
    </row>
    <row r="62">
      <c r="A62" s="76" t="s">
        <v>259</v>
      </c>
      <c r="B62" s="76">
        <v>2.0</v>
      </c>
      <c r="C62" s="76">
        <v>1.0</v>
      </c>
      <c r="D62" s="76">
        <v>3.0</v>
      </c>
      <c r="E62" s="76" t="s">
        <v>266</v>
      </c>
      <c r="F62" s="76">
        <v>4.0</v>
      </c>
      <c r="G62" s="76" t="s">
        <v>280</v>
      </c>
      <c r="H62" s="76" t="s">
        <v>284</v>
      </c>
      <c r="I62" s="76" t="s">
        <v>280</v>
      </c>
      <c r="J62" s="76">
        <v>1.0</v>
      </c>
      <c r="K62" s="76">
        <v>2.0</v>
      </c>
      <c r="L62" s="76">
        <v>2.0</v>
      </c>
      <c r="M62" s="76">
        <v>5.0</v>
      </c>
      <c r="N62" s="76">
        <v>2.0</v>
      </c>
      <c r="O62" s="76" t="s">
        <v>266</v>
      </c>
      <c r="P62" s="76">
        <v>0.0</v>
      </c>
      <c r="Q62" s="76">
        <v>5.0</v>
      </c>
      <c r="R62" s="76">
        <v>4.0</v>
      </c>
      <c r="T62" s="76">
        <v>3.0</v>
      </c>
      <c r="U62" s="76" t="s">
        <v>266</v>
      </c>
      <c r="V62" s="76" t="s">
        <v>338</v>
      </c>
      <c r="W62" s="76">
        <v>4.0</v>
      </c>
    </row>
    <row r="63">
      <c r="A63" s="76" t="s">
        <v>261</v>
      </c>
      <c r="B63" s="76">
        <v>3.0</v>
      </c>
      <c r="C63" s="76">
        <v>1.0</v>
      </c>
      <c r="D63" s="76">
        <v>4.0</v>
      </c>
      <c r="E63" s="76" t="s">
        <v>267</v>
      </c>
      <c r="F63" s="76">
        <v>5.0</v>
      </c>
      <c r="G63" s="76" t="s">
        <v>280</v>
      </c>
      <c r="H63" s="76" t="s">
        <v>62</v>
      </c>
      <c r="I63" s="76" t="s">
        <v>267</v>
      </c>
      <c r="J63" s="76">
        <v>3.0</v>
      </c>
      <c r="K63" s="76">
        <v>2.0</v>
      </c>
      <c r="L63" s="76">
        <v>3.0</v>
      </c>
      <c r="M63" s="76">
        <v>2.0</v>
      </c>
      <c r="N63" s="76">
        <v>3.0</v>
      </c>
      <c r="O63" s="76" t="s">
        <v>267</v>
      </c>
      <c r="P63" s="76">
        <v>0.0</v>
      </c>
      <c r="Q63" s="76">
        <v>5.0</v>
      </c>
      <c r="R63" s="76">
        <v>2.0</v>
      </c>
      <c r="S63" s="76" t="s">
        <v>449</v>
      </c>
      <c r="T63" s="76">
        <v>8.0</v>
      </c>
      <c r="U63" s="76" t="s">
        <v>266</v>
      </c>
      <c r="V63" s="76" t="s">
        <v>350</v>
      </c>
      <c r="W63" s="76">
        <v>4.0</v>
      </c>
    </row>
    <row r="64">
      <c r="A64" s="76" t="s">
        <v>258</v>
      </c>
      <c r="B64" s="76">
        <v>4.0</v>
      </c>
      <c r="C64" s="76">
        <v>2.0</v>
      </c>
      <c r="D64" s="76">
        <v>2.0</v>
      </c>
      <c r="E64" s="76" t="s">
        <v>267</v>
      </c>
      <c r="F64" s="76">
        <v>5.0</v>
      </c>
      <c r="G64" s="76" t="s">
        <v>267</v>
      </c>
      <c r="H64" s="76" t="s">
        <v>62</v>
      </c>
      <c r="I64" s="76" t="s">
        <v>266</v>
      </c>
      <c r="J64" s="76">
        <v>3.0</v>
      </c>
      <c r="K64" s="76">
        <v>3.0</v>
      </c>
      <c r="L64" s="76">
        <v>4.0</v>
      </c>
      <c r="M64" s="76">
        <v>5.0</v>
      </c>
      <c r="N64" s="76">
        <v>4.0</v>
      </c>
      <c r="O64" s="76" t="s">
        <v>267</v>
      </c>
      <c r="P64" s="76">
        <v>0.0</v>
      </c>
      <c r="Q64" s="76">
        <v>5.0</v>
      </c>
      <c r="R64" s="76">
        <v>3.0</v>
      </c>
      <c r="S64" s="76" t="s">
        <v>458</v>
      </c>
      <c r="T64" s="76">
        <v>9.0</v>
      </c>
      <c r="U64" s="76" t="s">
        <v>267</v>
      </c>
      <c r="V64" s="76" t="s">
        <v>330</v>
      </c>
      <c r="W64" s="76">
        <v>5.0</v>
      </c>
    </row>
    <row r="65">
      <c r="A65" s="76" t="s">
        <v>260</v>
      </c>
      <c r="B65" s="76">
        <v>3.0</v>
      </c>
      <c r="C65" s="76">
        <v>2.0</v>
      </c>
      <c r="D65" s="76">
        <v>1.0</v>
      </c>
      <c r="F65" s="76">
        <v>5.0</v>
      </c>
      <c r="G65" s="76" t="s">
        <v>280</v>
      </c>
      <c r="H65" s="76" t="s">
        <v>283</v>
      </c>
      <c r="I65" s="76" t="s">
        <v>267</v>
      </c>
      <c r="K65" s="76">
        <v>4.0</v>
      </c>
      <c r="L65" s="76">
        <v>5.0</v>
      </c>
      <c r="M65" s="76">
        <v>3.0</v>
      </c>
      <c r="N65" s="76">
        <v>4.0</v>
      </c>
      <c r="O65" s="76" t="s">
        <v>267</v>
      </c>
      <c r="P65" s="76">
        <v>2.0</v>
      </c>
      <c r="Q65" s="76">
        <v>4.0</v>
      </c>
      <c r="R65" s="76">
        <v>3.0</v>
      </c>
      <c r="T65" s="76">
        <v>8.0</v>
      </c>
      <c r="U65" s="76" t="s">
        <v>266</v>
      </c>
      <c r="V65" s="76" t="s">
        <v>344</v>
      </c>
      <c r="W65" s="76">
        <v>4.0</v>
      </c>
    </row>
    <row r="66">
      <c r="A66" s="76" t="s">
        <v>258</v>
      </c>
      <c r="B66" s="76">
        <v>4.0</v>
      </c>
      <c r="C66" s="76">
        <v>3.0</v>
      </c>
      <c r="D66" s="76">
        <v>4.0</v>
      </c>
      <c r="E66" s="76" t="s">
        <v>267</v>
      </c>
      <c r="F66" s="76">
        <v>3.0</v>
      </c>
      <c r="G66" s="76" t="s">
        <v>266</v>
      </c>
      <c r="H66" s="76" t="s">
        <v>62</v>
      </c>
      <c r="I66" s="76" t="s">
        <v>266</v>
      </c>
      <c r="J66" s="76">
        <v>4.0</v>
      </c>
      <c r="K66" s="76">
        <v>4.0</v>
      </c>
      <c r="L66" s="76">
        <v>4.0</v>
      </c>
      <c r="M66" s="76">
        <v>5.0</v>
      </c>
      <c r="N66" s="76">
        <v>4.0</v>
      </c>
      <c r="O66" s="76" t="s">
        <v>267</v>
      </c>
      <c r="P66" s="76">
        <v>4.0</v>
      </c>
      <c r="Q66" s="76">
        <v>5.0</v>
      </c>
      <c r="R66" s="76">
        <v>5.0</v>
      </c>
      <c r="S66" s="76" t="s">
        <v>398</v>
      </c>
      <c r="T66" s="76">
        <v>9.0</v>
      </c>
      <c r="U66" s="76" t="s">
        <v>267</v>
      </c>
      <c r="W66" s="76">
        <v>5.0</v>
      </c>
    </row>
    <row r="67">
      <c r="A67" s="76" t="s">
        <v>260</v>
      </c>
      <c r="B67" s="76">
        <v>3.0</v>
      </c>
      <c r="C67" s="76">
        <v>2.0</v>
      </c>
      <c r="D67" s="76">
        <v>3.0</v>
      </c>
      <c r="E67" s="76" t="s">
        <v>267</v>
      </c>
      <c r="F67" s="76">
        <v>4.0</v>
      </c>
      <c r="G67" s="76" t="s">
        <v>266</v>
      </c>
      <c r="H67" s="76" t="s">
        <v>283</v>
      </c>
      <c r="I67" s="76" t="s">
        <v>267</v>
      </c>
      <c r="J67" s="76">
        <v>2.0</v>
      </c>
      <c r="K67" s="76">
        <v>3.0</v>
      </c>
      <c r="L67" s="76">
        <v>5.0</v>
      </c>
      <c r="M67" s="76">
        <v>2.0</v>
      </c>
      <c r="N67" s="76">
        <v>4.0</v>
      </c>
      <c r="O67" s="76" t="s">
        <v>267</v>
      </c>
      <c r="P67" s="76">
        <v>3.0</v>
      </c>
      <c r="Q67" s="76">
        <v>5.0</v>
      </c>
      <c r="R67" s="76">
        <v>4.0</v>
      </c>
      <c r="S67" s="76" t="s">
        <v>464</v>
      </c>
      <c r="T67" s="76">
        <v>7.0</v>
      </c>
      <c r="U67" s="76" t="s">
        <v>267</v>
      </c>
      <c r="W67" s="76">
        <v>4.0</v>
      </c>
    </row>
  </sheetData>
  <drawing r:id="rId1"/>
</worksheet>
</file>